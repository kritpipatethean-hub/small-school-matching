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shboard" sheetId="2" state="visible" r:id="rId2"/>
    <sheet name="ภาพรวม" sheetId="3" state="visible" r:id="rId3"/>
    <sheet name="สถานะครบ 65 แห่ง" sheetId="4" state="visible" r:id="rId4"/>
    <sheet name="คู่ที่ผ่านเกณฑ์ 23 แห่ง" sheetId="5" state="visible" r:id="rId5"/>
    <sheet name="นอกเกณฑ์รวม 42 แห่ง" sheetId="6" state="visible" r:id="rId6"/>
    <sheet name="รายโรงเรียนแม่เหล็ก" sheetId="7" state="visible" r:id="rId7"/>
    <sheet name="รายอำเภอ" sheetId="8" state="visible" r:id="rId8"/>
    <sheet name="ช่วงระยะทาง" sheetId="9" state="visible" r:id="rId9"/>
    <sheet name="ผ่านเกณฑ์ ตรวจความพร้อม 8 แห่ง" sheetId="10" state="visible" r:id="rId10"/>
    <sheet name="_chartdata" sheetId="11" state="hidden" r:id="rId11"/>
  </sheets>
  <definedNames>
    <definedName name="_xlnm._FilterDatabase" localSheetId="3" hidden="1">'สถานะครบ 65 แห่ง'!$A$1:$O$66</definedName>
    <definedName name="_xlnm._FilterDatabase" localSheetId="4" hidden="1">'คู่ที่ผ่านเกณฑ์ 23 แห่ง'!$A$1:$P$24</definedName>
    <definedName name="_xlnm._FilterDatabase" localSheetId="5" hidden="1">'นอกเกณฑ์รวม 42 แห่ง'!$A$1:$O$43</definedName>
    <definedName name="_xlnm._FilterDatabase" localSheetId="6" hidden="1">'รายโรงเรียนแม่เหล็ก'!$A$1:$M$5</definedName>
    <definedName name="_xlnm._FilterDatabase" localSheetId="9" hidden="1">'ผ่านเกณฑ์ ตรวจความพร้อม 8 แห่ง'!$A$11:$K$19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3">
    <font>
      <name val="Calibri"/>
      <family val="2"/>
      <color theme="1"/>
      <sz val="11"/>
      <scheme val="minor"/>
    </font>
    <font>
      <name val="Sarabun"/>
      <b val="1"/>
      <color rgb="FFFFFFFF"/>
      <sz val="16"/>
    </font>
    <font>
      <name val="Sarabun"/>
      <color rgb="FF404040"/>
      <sz val="11"/>
    </font>
    <font>
      <name val="Sarabun"/>
      <b val="1"/>
      <color rgb="FFFFFFFF"/>
      <sz val="11"/>
    </font>
    <font>
      <name val="Sarabun"/>
      <b val="1"/>
      <sz val="10"/>
    </font>
    <font>
      <name val="Sarabun"/>
      <sz val="10"/>
    </font>
    <font>
      <b val="1"/>
      <sz val="16"/>
    </font>
    <font>
      <i val="1"/>
      <color rgb="FF555555"/>
      <sz val="10"/>
    </font>
    <font>
      <b val="1"/>
      <color rgb="FFFFFFFF"/>
      <sz val="11"/>
    </font>
    <font>
      <b val="1"/>
      <sz val="22"/>
    </font>
    <font>
      <i val="1"/>
      <color rgb="FF666666"/>
      <sz val="9"/>
    </font>
    <font>
      <b val="1"/>
      <color rgb="FFFFFFFF"/>
      <sz val="10"/>
    </font>
    <font>
      <b val="1"/>
      <sz val="18"/>
    </font>
    <font>
      <b val="1"/>
      <sz val="12"/>
    </font>
    <font>
      <b val="1"/>
      <color rgb="FFFFFFFF"/>
    </font>
    <font>
      <color rgb="FF1F4E79"/>
      <sz val="9"/>
    </font>
    <font>
      <i val="1"/>
      <sz val="10"/>
    </font>
    <font>
      <name val="Sarabun"/>
      <b val="1"/>
      <color rgb="FFFFFFFF"/>
      <sz val="14"/>
    </font>
    <font>
      <name val="Sarabun"/>
      <b val="1"/>
      <sz val="11"/>
    </font>
    <font>
      <name val="Sarabun"/>
      <b val="1"/>
    </font>
    <font>
      <name val="Sarabun"/>
    </font>
    <font>
      <name val="Sarabun"/>
      <b val="1"/>
      <color rgb="FFFFFFFF"/>
    </font>
    <font>
      <name val="Sarabun"/>
      <color rgb="FF1F4E79"/>
      <sz val="9"/>
    </font>
  </fonts>
  <fills count="11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5B9BD5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3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wrapText="1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center"/>
    </xf>
    <xf numFmtId="3" fontId="14" fillId="6" borderId="0" applyAlignment="1" pivotButton="0" quotePrefix="0" xfId="0">
      <alignment horizontal="center" vertical="center" wrapText="1"/>
    </xf>
    <xf numFmtId="4" fontId="14" fillId="6" borderId="0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/>
    </xf>
    <xf numFmtId="0" fontId="17" fillId="6" borderId="0" applyAlignment="1" pivotButton="0" quotePrefix="0" xfId="0">
      <alignment vertical="center" wrapText="1"/>
    </xf>
    <xf numFmtId="0" fontId="18" fillId="3" borderId="0" applyAlignment="1" pivotButton="0" quotePrefix="0" xfId="0">
      <alignment vertical="center" wrapText="1"/>
    </xf>
    <xf numFmtId="0" fontId="19" fillId="5" borderId="0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21" fillId="6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3" fontId="20" fillId="0" borderId="0" applyAlignment="1" pivotButton="0" quotePrefix="0" xfId="0">
      <alignment horizontal="right"/>
    </xf>
    <xf numFmtId="4" fontId="2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'_chartdata'!B1</f>
            </strRef>
          </tx>
          <spPr>
            <a:ln>
              <a:prstDash val="solid"/>
            </a:ln>
          </spPr>
          <cat>
            <numRef>
              <f>'_chartdata'!$A$2:$A$5</f>
            </numRef>
          </cat>
          <val>
            <numRef>
              <f>'_chartdata'!$B$2:$B$5</f>
            </numRef>
          </val>
        </ser>
        <ser>
          <idx val="1"/>
          <order val="1"/>
          <tx>
            <strRef>
              <f>'_chartdata'!C1</f>
            </strRef>
          </tx>
          <spPr>
            <a:ln>
              <a:prstDash val="solid"/>
            </a:ln>
          </spPr>
          <cat>
            <numRef>
              <f>'_chartdata'!$A$2:$A$5</f>
            </numRef>
          </cat>
          <val>
            <numRef>
              <f>'_chartdata'!$C$2:$C$5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สัดส่วนสถานะการจับคู่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'_chartdata'!$E$2:$E$3</f>
            </numRef>
          </cat>
          <val>
            <numRef>
              <f>'_chartdata'!$F$2:$F$3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'_chartdata'!I1</f>
            </strRef>
          </tx>
          <spPr>
            <a:ln>
              <a:prstDash val="solid"/>
            </a:ln>
          </spPr>
          <cat>
            <numRef>
              <f>'_chartdata'!$H$2:$H$5</f>
            </numRef>
          </cat>
          <val>
            <numRef>
              <f>'_chartdata'!$I$2:$I$5</f>
            </numRef>
          </val>
        </ser>
        <ser>
          <idx val="1"/>
          <order val="1"/>
          <tx>
            <strRef>
              <f>'_chartdata'!J1</f>
            </strRef>
          </tx>
          <spPr>
            <a:ln>
              <a:prstDash val="solid"/>
            </a:ln>
          </spPr>
          <cat>
            <numRef>
              <f>'_chartdata'!$H$2:$H$5</f>
            </numRef>
          </cat>
          <val>
            <numRef>
              <f>'_chartdata'!$J$2:$J$5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ln>
              <a:prstDash val="solid"/>
            </a:ln>
          </spPr>
          <cat>
            <numRef>
              <f>'_chartdata'!$L$2:$L$5</f>
            </numRef>
          </cat>
          <val>
            <numRef>
              <f>'_chartdata'!$M$2:$M$5</f>
            </numRef>
          </val>
        </ser>
        <ser>
          <idx val="1"/>
          <order val="1"/>
          <tx>
            <strRef>
              <f>'_chartdata'!N1</f>
            </strRef>
          </tx>
          <spPr>
            <a:ln>
              <a:prstDash val="solid"/>
            </a:ln>
          </spPr>
          <cat>
            <numRef>
              <f>'_chartdata'!$L$2:$L$5</f>
            </numRef>
          </cat>
          <val>
            <numRef>
              <f>'_chartdata'!$N$2:$N$5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30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30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59" customWidth="1" min="2" max="2"/>
    <col width="39" customWidth="1" min="3" max="3"/>
  </cols>
  <sheetData>
    <row r="1">
      <c r="A1" s="1" t="inlineStr">
        <is>
          <t>README: ผลการจับคู่โรงเรียนขนาดเล็ก กาญจนบุรี เขต 1</t>
        </is>
      </c>
    </row>
    <row r="2">
      <c r="A2" s="2" t="inlineStr">
        <is>
          <t>สรุปผลตามแผน 1.2 โดยใช้ระยะทางตามถนนไม่เกิน 10 กิโลเมตร</t>
        </is>
      </c>
    </row>
    <row r="4">
      <c r="A4" s="3" t="inlineStr">
        <is>
          <t>ไฟล์นี้ใช้ทำอะไร</t>
        </is>
      </c>
    </row>
    <row r="5">
      <c r="A5" s="4" t="inlineStr">
        <is>
          <t>วัตถุประสงค์</t>
        </is>
      </c>
      <c r="B5" s="5" t="inlineStr">
        <is>
          <t>ใช้ดูผลการจับคู่โรงเรียนขนาดเล็กกับโรงเรียนแม่เหล็กใน สพป.กาญจนบุรี เขต 1</t>
        </is>
      </c>
    </row>
    <row r="6">
      <c r="A6" s="4" t="inlineStr">
        <is>
          <t>พื้นที่</t>
        </is>
      </c>
      <c r="B6" s="5" t="inlineStr">
        <is>
          <t>สพป.กาญจนบุรี เขต 1 (areacode 71010000)</t>
        </is>
      </c>
    </row>
    <row r="8">
      <c r="A8" s="3" t="inlineStr">
        <is>
          <t>ตัวเลขหลัก</t>
        </is>
      </c>
    </row>
    <row r="9">
      <c r="A9" s="4" t="inlineStr">
        <is>
          <t>โรงเรียนขนาดเล็กตามสังกัด</t>
        </is>
      </c>
      <c r="B9" s="6" t="n">
        <v>65</v>
      </c>
      <c r="C9" s="5" t="inlineStr">
        <is>
          <t>นักเรียน 4,476 คน</t>
        </is>
      </c>
    </row>
    <row r="10">
      <c r="A10" s="4" t="inlineStr">
        <is>
          <t>โรงเรียนที่ใช้เป็นต้นทาง</t>
        </is>
      </c>
      <c r="B10" s="6" t="n">
        <v>65</v>
      </c>
      <c r="C10" s="5" t="inlineStr">
        <is>
          <t>ครบทุกแห่ง ไม่มีกรณีพิกัด–ขอบเขต</t>
        </is>
      </c>
    </row>
    <row r="11">
      <c r="A11" s="4" t="inlineStr">
        <is>
          <t>ผ่านเกณฑ์ไม่เกิน 10 กม.</t>
        </is>
      </c>
      <c r="B11" s="6" t="n">
        <v>23</v>
      </c>
      <c r="C11" s="5" t="inlineStr">
        <is>
          <t>นักเรียน 1,752 คน</t>
        </is>
      </c>
    </row>
    <row r="12">
      <c r="A12" s="4" t="inlineStr">
        <is>
          <t>นอกเกณฑ์รวม</t>
        </is>
      </c>
      <c r="B12" s="6" t="n">
        <v>42</v>
      </c>
      <c r="C12" s="5" t="inlineStr">
        <is>
          <t>เป็นกลุ่มที่มีผลเส้นทางเกิน 10 กม. ทั้งหมด นักเรียน 2,724 คน</t>
        </is>
      </c>
    </row>
    <row r="13">
      <c r="A13" s="4" t="inlineStr">
        <is>
          <t>โรงเรียนแม่เหล็กที่ได้รับการจับคู่</t>
        </is>
      </c>
      <c r="B13" s="6" t="n">
        <v>4</v>
      </c>
      <c r="C13" s="5" t="inlineStr">
        <is>
          <t>แห่ง</t>
        </is>
      </c>
    </row>
    <row r="15">
      <c r="A15" s="3" t="inlineStr">
        <is>
          <t>วิธีอ่าน</t>
        </is>
      </c>
    </row>
    <row r="16">
      <c r="A16" s="4" t="inlineStr">
        <is>
          <t>เกณฑ์จับคู่</t>
        </is>
      </c>
      <c r="B16" s="5" t="inlineStr">
        <is>
          <t>เลือกโรงเรียนแม่เหล็กที่มีระยะทางสั้นที่สุดตามถนนไม่เกิน 10 กม. โดยใช้ค่าดิบหน่วยเมตร</t>
        </is>
      </c>
    </row>
    <row r="17">
      <c r="A17" s="4" t="inlineStr">
        <is>
          <t>ที่มาของระยะทาง</t>
        </is>
      </c>
      <c r="B17" s="5" t="inlineStr">
        <is>
          <t>ผล QNEAT3 ที่ตรวจรับแล้ว ไฟล์นี้ไม่คำนวณระยะทางใหม่</t>
        </is>
      </c>
    </row>
    <row r="18">
      <c r="A18" s="4" t="inlineStr">
        <is>
          <t>เวลาเดินทาง</t>
        </is>
      </c>
      <c r="B18" s="5" t="inlineStr">
        <is>
          <t>เป็นค่าประมาณจากเส้นทางที่ใช้เวลาน้อยที่สุด จึงอาจต่างจากเส้นทางที่ใช้คัดเกณฑ์ระยะทาง</t>
        </is>
      </c>
    </row>
    <row r="19">
      <c r="A19" s="4" t="inlineStr">
        <is>
          <t>กรณีพิกัด–ขอบเขต</t>
        </is>
      </c>
      <c r="B19" s="5" t="inlineStr">
        <is>
          <t>พื้นที่นี้ไม่มี ต่างจากหนองคายที่มี 3 แห่ง จึงไม่มีคอลัมน์ระยะเลยขอบเขต</t>
        </is>
      </c>
    </row>
    <row r="20">
      <c r="A20" s="4" t="inlineStr">
        <is>
          <t>ผ่านเกณฑ์ ตรวจความพร้อม 8 แห่ง</t>
        </is>
      </c>
      <c r="B20" s="5" t="inlineStr">
        <is>
          <t>เป็นส่วนหนึ่งของกลุ่มที่ผ่านเกณฑ์ 23 แห่ง ไม่ใช่กลุ่มนอกเกณฑ์</t>
        </is>
      </c>
    </row>
    <row r="21">
      <c r="A21" s="4" t="inlineStr">
        <is>
          <t>นักเรียนรวมเชิงสมมติ</t>
        </is>
      </c>
      <c r="B21" s="5" t="inlineStr">
        <is>
          <t>ใช้ดูภาระที่อาจเกิดขึ้นเท่านั้น ไม่ใช่จำนวนรับจริง</t>
        </is>
      </c>
    </row>
    <row r="23">
      <c r="A23" s="3" t="inlineStr">
        <is>
          <t>ลำดับชีต</t>
        </is>
      </c>
    </row>
    <row r="24">
      <c r="A24" s="4" t="inlineStr">
        <is>
          <t>Dashboard</t>
        </is>
      </c>
      <c r="B24" s="5" t="inlineStr">
        <is>
          <t>ตัวเลขและกราฟสรุป</t>
        </is>
      </c>
    </row>
    <row r="25">
      <c r="A25" s="4" t="inlineStr">
        <is>
          <t>ภาพรวม</t>
        </is>
      </c>
      <c r="B25" s="5" t="inlineStr">
        <is>
          <t>ตัวเลขสรุปทั้งหมด</t>
        </is>
      </c>
    </row>
    <row r="26">
      <c r="A26" s="4" t="inlineStr">
        <is>
          <t>สถานะครบ 65 แห่ง</t>
        </is>
      </c>
      <c r="B26" s="5" t="inlineStr">
        <is>
          <t>สถานะของโรงเรียนครบทุกแห่ง</t>
        </is>
      </c>
    </row>
    <row r="27">
      <c r="A27" s="4" t="inlineStr">
        <is>
          <t>คู่ที่ผ่านเกณฑ์ 23 แห่ง</t>
        </is>
      </c>
      <c r="B27" s="5" t="inlineStr">
        <is>
          <t>รายละเอียดคู่ที่ผ่านเกณฑ์</t>
        </is>
      </c>
    </row>
    <row r="28">
      <c r="A28" s="4" t="inlineStr">
        <is>
          <t>นอกเกณฑ์รวม 42 แห่ง</t>
        </is>
      </c>
      <c r="B28" s="5" t="inlineStr">
        <is>
          <t>โรงเรียนที่ปลายทางใกล้ที่สุดอยู่เกิน 10 กม.</t>
        </is>
      </c>
    </row>
    <row r="29">
      <c r="A29" s="4" t="inlineStr">
        <is>
          <t>รายโรงเรียนแม่เหล็ก</t>
        </is>
      </c>
      <c r="B29" s="5" t="inlineStr">
        <is>
          <t>ผลรวมแยกตามโรงเรียนแม่เหล็ก</t>
        </is>
      </c>
    </row>
    <row r="30">
      <c r="A30" s="4" t="inlineStr">
        <is>
          <t>รายอำเภอ</t>
        </is>
      </c>
      <c r="B30" s="5" t="inlineStr">
        <is>
          <t>ผลรวมแยกตามอำเภอต้นทาง</t>
        </is>
      </c>
    </row>
    <row r="31">
      <c r="A31" s="4" t="inlineStr">
        <is>
          <t>ช่วงระยะทาง</t>
        </is>
      </c>
      <c r="B31" s="5" t="inlineStr">
        <is>
          <t>ผลรวมแยกตามช่วงระยะทาง</t>
        </is>
      </c>
    </row>
    <row r="32">
      <c r="A32" s="4" t="inlineStr">
        <is>
          <t>ผ่านเกณฑ์ ตรวจความพร้อม 8 แห่ง</t>
        </is>
      </c>
      <c r="B32" s="5" t="inlineStr">
        <is>
          <t>โรงเรียนที่ผ่านระยะทางแล้ว แต่มีอย่างน้อยหนึ่งเงื่อนไขให้ตรวจความพร้อมเพิ่ม</t>
        </is>
      </c>
    </row>
    <row r="34">
      <c r="A34" s="3" t="inlineStr">
        <is>
          <t>ต่างจากหนองคายอย่างไร</t>
        </is>
      </c>
    </row>
    <row r="35">
      <c r="A35" s="4" t="inlineStr">
        <is>
          <t>ไม่มีกรณีพิกัด–ขอบเขต</t>
        </is>
      </c>
      <c r="B35" s="5" t="inlineStr">
        <is>
          <t>หนองคายมี 3 แห่งที่พิกัดไม่ตกใน AOI เดิม กาญจนบุรีไม่มี จำนวนทะเบียนกับต้นทางจึงเท่ากันที่ 65 แห่ง</t>
        </is>
      </c>
    </row>
    <row r="36">
      <c r="A36" s="4" t="inlineStr">
        <is>
          <t>เงื่อนไขตรวจความพร้อม</t>
        </is>
      </c>
      <c r="B36" s="5" t="inlineStr">
        <is>
          <t>หนองคายใช้ 3 เงื่อนไข กาญจนบุรีเพิ่มช่วงตรวจความไว 9.5–10.5 กม. ตามกฎ QC ของโครงการเป็นเงื่อนไขที่สี่</t>
        </is>
      </c>
    </row>
    <row r="37">
      <c r="A37" s="4" t="inlineStr">
        <is>
          <t>การจับคู่ข้ามอำเภอ</t>
        </is>
      </c>
      <c r="B37" s="5" t="inlineStr">
        <is>
          <t>กาญจนบุรีมี 0 แห่ง ทุกคู่ที่ผ่านเกณฑ์อยู่ในอำเภอเดียวกับโรงเรียนแม่เหล็ก</t>
        </is>
      </c>
    </row>
    <row r="39">
      <c r="A39" s="3" t="inlineStr">
        <is>
          <t>ข้อมูลและการตรวจ</t>
        </is>
      </c>
    </row>
    <row r="40">
      <c r="A40" s="4" t="inlineStr">
        <is>
          <t>ข้อมูลต้นทาง</t>
        </is>
      </c>
      <c r="B40" s="5" t="inlineStr">
        <is>
          <t>ทะเบียนโรงเรียน จุดโรงเรียน และผลเส้นทาง DMC68 และเส้นทาง OpenStreetMap</t>
        </is>
      </c>
    </row>
    <row r="41">
      <c r="A41" s="4" t="inlineStr">
        <is>
          <t>ลักษณะไฟล์</t>
        </is>
      </c>
      <c r="B41" s="5" t="inlineStr">
        <is>
          <t>เป็นข้อมูลคงที่ ไม่มีสูตรเชื่อมกับ GIS</t>
        </is>
      </c>
    </row>
    <row r="42">
      <c r="A42" s="4" t="inlineStr">
        <is>
          <t>สร้างไฟล์นี้ด้วย</t>
        </is>
      </c>
      <c r="B42" s="5" t="inlineStr">
        <is>
          <t>04 เครื่องมือ/build_insight_KB1.py</t>
        </is>
      </c>
    </row>
    <row r="43">
      <c r="A43" s="4" t="inlineStr">
        <is>
          <t>ตรวจไฟล์นี้ด้วย</t>
        </is>
      </c>
      <c r="B43" s="5" t="inlineStr">
        <is>
          <t>04 เครื่องมือ/verify_insight.py --area kb1</t>
        </is>
      </c>
    </row>
    <row r="44">
      <c r="A44" s="4" t="inlineStr">
        <is>
          <t>หากข้อมูลเปลี่ยน</t>
        </is>
      </c>
      <c r="B44" s="5" t="inlineStr">
        <is>
          <t>ให้สร้างและตรวจ Excel ใหม่ ไม่แก้ตัวเลขสรุปด้วยมือ</t>
        </is>
      </c>
    </row>
    <row r="45">
      <c r="A45" s="4" t="inlineStr">
        <is>
          <t>ข้อจำกัด</t>
        </is>
      </c>
      <c r="B45" s="5" t="inlineStr">
        <is>
          <t>เป็นผลคัดกรองเบื้องต้น มิใช่ข้อเสนอให้ควบรวมโรงเรียนหรือย้ายนักเรียน</t>
        </is>
      </c>
    </row>
  </sheetData>
  <mergeCells count="34">
    <mergeCell ref="B16:C16"/>
    <mergeCell ref="B25:C25"/>
    <mergeCell ref="B31:C31"/>
    <mergeCell ref="B18:C18"/>
    <mergeCell ref="B27:C27"/>
    <mergeCell ref="A2:C2"/>
    <mergeCell ref="B43:C43"/>
    <mergeCell ref="B21:C21"/>
    <mergeCell ref="A23:C23"/>
    <mergeCell ref="A8:C8"/>
    <mergeCell ref="B42:C42"/>
    <mergeCell ref="B17:C17"/>
    <mergeCell ref="A4:C4"/>
    <mergeCell ref="B44:C44"/>
    <mergeCell ref="B29:C29"/>
    <mergeCell ref="B19:C19"/>
    <mergeCell ref="B37:C37"/>
    <mergeCell ref="B28:C28"/>
    <mergeCell ref="A39:C39"/>
    <mergeCell ref="A34:C34"/>
    <mergeCell ref="A15:C15"/>
    <mergeCell ref="B40:C40"/>
    <mergeCell ref="B6:C6"/>
    <mergeCell ref="B24:C24"/>
    <mergeCell ref="B30:C30"/>
    <mergeCell ref="A1:C1"/>
    <mergeCell ref="B5:C5"/>
    <mergeCell ref="B20:C20"/>
    <mergeCell ref="B45:C45"/>
    <mergeCell ref="B36:C36"/>
    <mergeCell ref="B32:C32"/>
    <mergeCell ref="B26:C26"/>
    <mergeCell ref="B41:C41"/>
    <mergeCell ref="B35:C35"/>
  </mergeCell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1F4E79"/>
    <outlinePr summaryBelow="1" summaryRight="1"/>
    <pageSetUpPr/>
  </sheetPr>
  <dimension ref="B2:M30"/>
  <sheetViews>
    <sheetView workbookViewId="0">
      <selection activeCell="A1" sqref="A1"/>
    </sheetView>
  </sheetViews>
  <sheetFormatPr baseColWidth="8" defaultRowHeight="15"/>
  <cols>
    <col width="2.7" customWidth="1" min="1" max="1"/>
    <col width="11.7" customWidth="1" min="2" max="2"/>
  </cols>
  <sheetData>
    <row r="2">
      <c r="B2" s="7" t="inlineStr">
        <is>
          <t>Dashboard: การจัดกลุ่มโรงเรียนขนาดเล็กตามแผน 1.2 — สพป.กาญจนบุรี เขต 1</t>
        </is>
      </c>
    </row>
    <row r="3">
      <c r="B3" s="8" t="inlineStr">
        <is>
          <t>ฐานประชากรตามสังกัด 65 แห่ง; คัดเกณฑ์ด้วยเส้นทางที่มีระยะทางสั้นที่สุด; เวลาใช้เส้นทางที่ใช้เวลาน้อยที่สุด ซึ่งอาจมิใช่เส้นทางเดียวกัน</t>
        </is>
      </c>
    </row>
    <row r="5">
      <c r="B5" s="9" t="inlineStr">
        <is>
          <t>โรงเรียนขนาดเล็กตามสังกัด</t>
        </is>
      </c>
      <c r="E5" s="9" t="inlineStr">
        <is>
          <t>จับคู่ได้ภายใน 10 กม.</t>
        </is>
      </c>
      <c r="H5" s="9" t="inlineStr">
        <is>
          <t>อยู่นอกเกณฑ์รวม</t>
        </is>
      </c>
      <c r="K5" s="9" t="inlineStr">
        <is>
          <t>นักเรียนตามสังกัด</t>
        </is>
      </c>
    </row>
    <row r="6">
      <c r="B6" s="10" t="n">
        <v>65</v>
      </c>
      <c r="E6" s="10" t="n">
        <v>23</v>
      </c>
      <c r="H6" s="10" t="n">
        <v>42</v>
      </c>
      <c r="K6" s="10" t="n">
        <v>4476</v>
      </c>
    </row>
    <row r="7">
      <c r="B7" s="11" t="inlineStr">
        <is>
          <t>แห่ง (100%)</t>
        </is>
      </c>
      <c r="E7" s="11" t="inlineStr">
        <is>
          <t>แห่ง (35.38%)</t>
        </is>
      </c>
      <c r="H7" s="11" t="inlineStr">
        <is>
          <t>แห่ง (64.62%; เส้นทางเกินเกณฑ์ทั้งหมด)</t>
        </is>
      </c>
      <c r="K7" s="11" t="inlineStr">
        <is>
          <t>คน</t>
        </is>
      </c>
    </row>
    <row r="9">
      <c r="B9" s="12" t="inlineStr">
        <is>
          <t>โรงเรียนแม่เหล็กที่รองรับ</t>
        </is>
      </c>
      <c r="F9" s="12" t="inlineStr">
        <is>
          <t>นักเรียนในกลุ่มที่จับคู่ได้</t>
        </is>
      </c>
      <c r="J9" s="12" t="inlineStr">
        <is>
          <t>ผ่านเกณฑ์ที่ควรตรวจความพร้อม</t>
        </is>
      </c>
    </row>
    <row r="10">
      <c r="B10" s="13" t="n">
        <v>4</v>
      </c>
      <c r="F10" s="13" t="n">
        <v>1752</v>
      </c>
      <c r="J10" s="13" t="n">
        <v>8</v>
      </c>
    </row>
    <row r="11">
      <c r="B11" s="14" t="inlineStr">
        <is>
          <t>แห่ง</t>
        </is>
      </c>
      <c r="F11" s="14" t="inlineStr">
        <is>
          <t>คน (39.14% ของนักเรียนทั้งหมด)</t>
        </is>
      </c>
      <c r="J11" s="14" t="inlineStr">
        <is>
          <t>แห่ง (ไม่นับซ้ำจาก 4 เงื่อนไข)</t>
        </is>
      </c>
    </row>
    <row r="13">
      <c r="B13" s="15" t="inlineStr">
        <is>
          <t>นักเรียนเดิมและจำนวนเชิงสมมติหากรับนักเรียนจากกลุ่มที่ผ่านเกณฑ์</t>
        </is>
      </c>
      <c r="I13" s="15" t="inlineStr">
        <is>
          <t>สถานะของโรงเรียนตามสังกัด 65 แห่ง</t>
        </is>
      </c>
    </row>
    <row r="30">
      <c r="B30" s="15" t="inlineStr">
        <is>
          <t>ระยะทาง/เวลาเฉลี่ยเฉพาะกลุ่มที่จับคู่ได้ 23 แห่ง</t>
        </is>
      </c>
      <c r="I30" s="15" t="inlineStr">
        <is>
          <t>โรงเรียนตามสังกัดและที่จับคู่ได้ จำแนกรายอำเภอ</t>
        </is>
      </c>
    </row>
  </sheetData>
  <mergeCells count="27">
    <mergeCell ref="B2:M2"/>
    <mergeCell ref="B9:E9"/>
    <mergeCell ref="I30:M30"/>
    <mergeCell ref="F9:I9"/>
    <mergeCell ref="B30:H30"/>
    <mergeCell ref="H7:J7"/>
    <mergeCell ref="E6:G6"/>
    <mergeCell ref="F11:I11"/>
    <mergeCell ref="E7:G7"/>
    <mergeCell ref="F10:I10"/>
    <mergeCell ref="B6:D6"/>
    <mergeCell ref="K7:M7"/>
    <mergeCell ref="J10:M10"/>
    <mergeCell ref="B5:D5"/>
    <mergeCell ref="K6:M6"/>
    <mergeCell ref="J9:M9"/>
    <mergeCell ref="H5:J5"/>
    <mergeCell ref="B11:E11"/>
    <mergeCell ref="B7:D7"/>
    <mergeCell ref="B3:M3"/>
    <mergeCell ref="B13:H13"/>
    <mergeCell ref="E5:G5"/>
    <mergeCell ref="K5:M5"/>
    <mergeCell ref="J11:M11"/>
    <mergeCell ref="I13:M13"/>
    <mergeCell ref="B10:E10"/>
    <mergeCell ref="H6:J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9" customWidth="1" min="1" max="1"/>
    <col width="59" customWidth="1" min="2" max="2"/>
    <col width="15" customWidth="1" min="3" max="3"/>
    <col width="13" customWidth="1" min="4" max="4"/>
  </cols>
  <sheetData>
    <row r="1">
      <c r="A1" s="16" t="inlineStr">
        <is>
          <t>หมวด</t>
        </is>
      </c>
      <c r="B1" s="16" t="inlineStr">
        <is>
          <t>รายการ</t>
        </is>
      </c>
      <c r="C1" s="16" t="inlineStr">
        <is>
          <t>ค่า</t>
        </is>
      </c>
      <c r="D1" s="16" t="inlineStr">
        <is>
          <t>หน่วย</t>
        </is>
      </c>
    </row>
    <row r="2">
      <c r="A2" s="17" t="inlineStr">
        <is>
          <t>ฐานประชากรตามสังกัด</t>
        </is>
      </c>
      <c r="B2" s="17" t="inlineStr">
        <is>
          <t>โรงเรียนขนาดเล็กทั้งหมด</t>
        </is>
      </c>
      <c r="C2" s="18" t="n">
        <v>65</v>
      </c>
      <c r="D2" s="19" t="inlineStr">
        <is>
          <t>แห่ง</t>
        </is>
      </c>
    </row>
    <row r="3">
      <c r="B3" s="17" t="inlineStr">
        <is>
          <t>โรงเรียนที่ใช้เป็นต้นทาง OD</t>
        </is>
      </c>
      <c r="C3" s="18" t="n">
        <v>65</v>
      </c>
      <c r="D3" s="19" t="inlineStr">
        <is>
          <t>แห่ง</t>
        </is>
      </c>
    </row>
    <row r="4">
      <c r="B4" s="17" t="inlineStr">
        <is>
          <t>จับคู่ได้ภายในระยะทางตามถนน 10 กม.</t>
        </is>
      </c>
      <c r="C4" s="18" t="n">
        <v>23</v>
      </c>
      <c r="D4" s="19" t="inlineStr">
        <is>
          <t>แห่ง</t>
        </is>
      </c>
    </row>
    <row r="5">
      <c r="B5" s="17" t="inlineStr">
        <is>
          <t>สัดส่วนที่จับคู่ได้ต่อฐานตามสังกัด</t>
        </is>
      </c>
      <c r="C5" s="20" t="n">
        <v>35.38</v>
      </c>
      <c r="D5" s="19" t="inlineStr">
        <is>
          <t>ร้อยละ</t>
        </is>
      </c>
    </row>
    <row r="6">
      <c r="B6" s="17" t="inlineStr">
        <is>
          <t>อยู่นอกเกณฑ์รวม</t>
        </is>
      </c>
      <c r="C6" s="18" t="n">
        <v>42</v>
      </c>
      <c r="D6" s="19" t="inlineStr">
        <is>
          <t>แห่ง</t>
        </is>
      </c>
    </row>
    <row r="7">
      <c r="B7" s="17" t="inlineStr">
        <is>
          <t>ในกลุ่มนอกเกณฑ์: มีผลเส้นทางเกิน 10 กม.</t>
        </is>
      </c>
      <c r="C7" s="18" t="n">
        <v>42</v>
      </c>
      <c r="D7" s="19" t="inlineStr">
        <is>
          <t>แห่ง</t>
        </is>
      </c>
    </row>
    <row r="8">
      <c r="B8" s="17" t="inlineStr">
        <is>
          <t>ในกลุ่มนอกเกณฑ์: กรณีพิกัด–ขอบเขตไม่สอดคล้อง</t>
        </is>
      </c>
      <c r="C8" s="18" t="n">
        <v>0</v>
      </c>
      <c r="D8" s="19" t="inlineStr">
        <is>
          <t>แห่ง</t>
        </is>
      </c>
    </row>
    <row r="9">
      <c r="B9" s="17" t="inlineStr">
        <is>
          <t>ไม่พบเส้นทางไปยังโรงเรียนแม่เหล็ก</t>
        </is>
      </c>
      <c r="C9" s="18" t="n">
        <v>0</v>
      </c>
      <c r="D9" s="19" t="inlineStr">
        <is>
          <t>แห่ง</t>
        </is>
      </c>
    </row>
    <row r="10">
      <c r="B10" s="17" t="inlineStr">
        <is>
          <t>โรงเรียนแม่เหล็กที่รองรับกลุ่มที่ผ่านเกณฑ์</t>
        </is>
      </c>
      <c r="C10" s="18" t="n">
        <v>4</v>
      </c>
      <c r="D10" s="19" t="inlineStr">
        <is>
          <t>แห่ง</t>
        </is>
      </c>
    </row>
    <row r="11">
      <c r="B11" s="17" t="inlineStr">
        <is>
          <t>อำเภอตามฐานประชากร</t>
        </is>
      </c>
      <c r="C11" s="18" t="n">
        <v>4</v>
      </c>
      <c r="D11" s="19" t="inlineStr">
        <is>
          <t>อำเภอ</t>
        </is>
      </c>
    </row>
    <row r="12">
      <c r="A12" s="17" t="inlineStr">
        <is>
          <t>นักเรียน</t>
        </is>
      </c>
      <c r="B12" s="17" t="inlineStr">
        <is>
          <t>นักเรียนในโรงเรียนขนาดเล็กทั้งหมด</t>
        </is>
      </c>
      <c r="C12" s="18" t="n">
        <v>4476</v>
      </c>
      <c r="D12" s="19" t="inlineStr">
        <is>
          <t>คน</t>
        </is>
      </c>
    </row>
    <row r="13">
      <c r="B13" s="17" t="inlineStr">
        <is>
          <t>นักเรียนในกลุ่มที่จับคู่ได้</t>
        </is>
      </c>
      <c r="C13" s="18" t="n">
        <v>1752</v>
      </c>
      <c r="D13" s="19" t="inlineStr">
        <is>
          <t>คน</t>
        </is>
      </c>
    </row>
    <row r="14">
      <c r="B14" s="17" t="inlineStr">
        <is>
          <t>สัดส่วนนักเรียนที่ครอบคลุมได้</t>
        </is>
      </c>
      <c r="C14" s="20" t="n">
        <v>39.14</v>
      </c>
      <c r="D14" s="19" t="inlineStr">
        <is>
          <t>ร้อยละ</t>
        </is>
      </c>
    </row>
    <row r="15">
      <c r="B15" s="17" t="inlineStr">
        <is>
          <t>นักเรียนในกลุ่มนอกเกณฑ์รวม</t>
        </is>
      </c>
      <c r="C15" s="18" t="n">
        <v>2724</v>
      </c>
      <c r="D15" s="19" t="inlineStr">
        <is>
          <t>คน</t>
        </is>
      </c>
    </row>
    <row r="16">
      <c r="B16" s="17" t="inlineStr">
        <is>
          <t>นักเรียนเดิมของโรงเรียนแม่เหล็ก</t>
        </is>
      </c>
      <c r="C16" s="18" t="n">
        <v>1945</v>
      </c>
      <c r="D16" s="19" t="inlineStr">
        <is>
          <t>คน</t>
        </is>
      </c>
    </row>
    <row r="17">
      <c r="A17" s="17" t="inlineStr">
        <is>
          <t>ระยะทาง: กลุ่มผ่านเกณฑ์ 23 แห่ง</t>
        </is>
      </c>
      <c r="B17" s="17" t="inlineStr">
        <is>
          <t>ระยะทางเฉลี่ย</t>
        </is>
      </c>
      <c r="C17" s="20" t="n">
        <v>6.34</v>
      </c>
      <c r="D17" s="19" t="inlineStr">
        <is>
          <t>กม.</t>
        </is>
      </c>
    </row>
    <row r="18">
      <c r="B18" s="17" t="inlineStr">
        <is>
          <t>ระยะทางสั้นสุด</t>
        </is>
      </c>
      <c r="C18" s="20" t="n">
        <v>1.82</v>
      </c>
      <c r="D18" s="19" t="inlineStr">
        <is>
          <t>กม.</t>
        </is>
      </c>
    </row>
    <row r="19">
      <c r="B19" s="17" t="inlineStr">
        <is>
          <t>ระยะทางไกลสุด</t>
        </is>
      </c>
      <c r="C19" s="20" t="n">
        <v>9.93</v>
      </c>
      <c r="D19" s="19" t="inlineStr">
        <is>
          <t>กม.</t>
        </is>
      </c>
    </row>
    <row r="20">
      <c r="B20" s="17" t="inlineStr">
        <is>
          <t>ระยะทางมัธยฐาน</t>
        </is>
      </c>
      <c r="C20" s="20" t="n">
        <v>6.89</v>
      </c>
      <c r="D20" s="19" t="inlineStr">
        <is>
          <t>กม.</t>
        </is>
      </c>
    </row>
    <row r="21">
      <c r="A21" s="17" t="inlineStr">
        <is>
          <t>เวลา: กลุ่มผ่านเกณฑ์ 23 แห่ง</t>
        </is>
      </c>
      <c r="B21" s="17" t="inlineStr">
        <is>
          <t>เวลาเฉลี่ย</t>
        </is>
      </c>
      <c r="C21" s="20" t="n">
        <v>9.99</v>
      </c>
      <c r="D21" s="19" t="inlineStr">
        <is>
          <t>นาที</t>
        </is>
      </c>
    </row>
    <row r="22">
      <c r="B22" s="17" t="inlineStr">
        <is>
          <t>เวลาน้อยสุด</t>
        </is>
      </c>
      <c r="C22" s="20" t="n">
        <v>2.92</v>
      </c>
      <c r="D22" s="19" t="inlineStr">
        <is>
          <t>นาที</t>
        </is>
      </c>
    </row>
    <row r="23">
      <c r="B23" s="17" t="inlineStr">
        <is>
          <t>เวลานานสุด</t>
        </is>
      </c>
      <c r="C23" s="20" t="n">
        <v>16.05</v>
      </c>
      <c r="D23" s="19" t="inlineStr">
        <is>
          <t>นาที</t>
        </is>
      </c>
    </row>
    <row r="24">
      <c r="B24" s="17" t="inlineStr">
        <is>
          <t>เวลามัธยฐาน</t>
        </is>
      </c>
      <c r="C24" s="20" t="n">
        <v>10.72</v>
      </c>
      <c r="D24" s="19" t="inlineStr">
        <is>
          <t>นาที</t>
        </is>
      </c>
    </row>
    <row r="25">
      <c r="A25" s="17" t="inlineStr">
        <is>
          <t>ผลเส้นทางเกินเกณฑ์ 42 แห่ง</t>
        </is>
      </c>
      <c r="B25" s="17" t="inlineStr">
        <is>
          <t>ระยะทางเฉลี่ย</t>
        </is>
      </c>
      <c r="C25" s="20" t="n">
        <v>19.56</v>
      </c>
      <c r="D25" s="19" t="inlineStr">
        <is>
          <t>กม.</t>
        </is>
      </c>
    </row>
    <row r="26">
      <c r="B26" s="17" t="inlineStr">
        <is>
          <t>ระยะทางสั้นสุด</t>
        </is>
      </c>
      <c r="C26" s="20" t="n">
        <v>10.19</v>
      </c>
      <c r="D26" s="19" t="inlineStr">
        <is>
          <t>กม.</t>
        </is>
      </c>
    </row>
    <row r="27">
      <c r="B27" s="17" t="inlineStr">
        <is>
          <t>ระยะทางไกลสุด</t>
        </is>
      </c>
      <c r="C27" s="20" t="n">
        <v>67.23</v>
      </c>
      <c r="D27" s="19" t="inlineStr">
        <is>
          <t>กม.</t>
        </is>
      </c>
    </row>
    <row r="28">
      <c r="B28" s="17" t="inlineStr">
        <is>
          <t>ระยะทางมัธยฐาน</t>
        </is>
      </c>
      <c r="C28" s="20" t="n">
        <v>17</v>
      </c>
      <c r="D28" s="19" t="inlineStr">
        <is>
          <t>กม.</t>
        </is>
      </c>
    </row>
    <row r="29">
      <c r="B29" s="17" t="inlineStr">
        <is>
          <t>เวลาเฉลี่ย</t>
        </is>
      </c>
      <c r="C29" s="20" t="n">
        <v>27.59</v>
      </c>
      <c r="D29" s="19" t="inlineStr">
        <is>
          <t>นาที</t>
        </is>
      </c>
    </row>
    <row r="30">
      <c r="B30" s="17" t="inlineStr">
        <is>
          <t>เวลานานสุด</t>
        </is>
      </c>
      <c r="C30" s="20" t="n">
        <v>88.37</v>
      </c>
      <c r="D30" s="19" t="inlineStr">
        <is>
          <t>นาที</t>
        </is>
      </c>
    </row>
    <row r="31">
      <c r="A31" s="17" t="inlineStr">
        <is>
          <t>กรณีที่ควรตรวจสอบเพิ่มเติมในกลุ่มผ่านเกณฑ์</t>
        </is>
      </c>
      <c r="B31" s="17" t="inlineStr">
        <is>
          <t>ใช้เวลาตั้งแต่ 12 นาทีขึ้นไป</t>
        </is>
      </c>
      <c r="C31" s="18" t="n">
        <v>8</v>
      </c>
      <c r="D31" s="19" t="inlineStr">
        <is>
          <t>แห่ง</t>
        </is>
      </c>
    </row>
    <row r="32">
      <c r="B32" s="17" t="inlineStr">
        <is>
          <t>จับคู่ข้ามอำเภอ</t>
        </is>
      </c>
      <c r="C32" s="18" t="n">
        <v>0</v>
      </c>
      <c r="D32" s="19" t="inlineStr">
        <is>
          <t>คู่</t>
        </is>
      </c>
    </row>
    <row r="33">
      <c r="B33" s="17" t="inlineStr">
        <is>
          <t>นักเรียนไม่เกิน 20 คน</t>
        </is>
      </c>
      <c r="C33" s="18" t="n">
        <v>2</v>
      </c>
      <c r="D33" s="19" t="inlineStr">
        <is>
          <t>แห่ง</t>
        </is>
      </c>
    </row>
    <row r="34">
      <c r="B34" s="17" t="inlineStr">
        <is>
          <t>ระยะอยู่ในช่วงตรวจความไว 9.5–10.5 กม.</t>
        </is>
      </c>
      <c r="C34" s="18" t="n">
        <v>2</v>
      </c>
      <c r="D34" s="19" t="inlineStr">
        <is>
          <t>แห่ง</t>
        </is>
      </c>
    </row>
    <row r="35">
      <c r="B35" s="17" t="inlineStr">
        <is>
          <t>รวมอย่างน้อยหนึ่งเงื่อนไขโดยไม่นับซ้ำ</t>
        </is>
      </c>
      <c r="C35" s="18" t="n">
        <v>8</v>
      </c>
      <c r="D35" s="19" t="inlineStr">
        <is>
          <t>แห่ง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9BD5"/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11" customWidth="1" min="4" max="4"/>
    <col width="15" customWidth="1" min="5" max="5"/>
    <col width="16" customWidth="1" min="6" max="6"/>
    <col width="25" customWidth="1" min="7" max="7"/>
    <col width="39" customWidth="1" min="8" max="8"/>
    <col width="16" customWidth="1" min="9" max="9"/>
    <col width="27" customWidth="1" min="10" max="10"/>
    <col width="17" customWidth="1" min="11" max="11"/>
    <col width="16" customWidth="1" min="12" max="12"/>
    <col width="18" customWidth="1" min="13" max="13"/>
    <col width="16" customWidth="1" min="14" max="14"/>
    <col width="29" customWidth="1" min="15" max="15"/>
  </cols>
  <sheetData>
    <row r="1">
      <c r="A1" s="16" t="inlineStr">
        <is>
          <t>ลำดับ</t>
        </is>
      </c>
      <c r="B1" s="16" t="inlineStr">
        <is>
          <t>รหัส รร.เล็ก</t>
        </is>
      </c>
      <c r="C1" s="16" t="inlineStr">
        <is>
          <t>ชื่อ รร.เล็ก</t>
        </is>
      </c>
      <c r="D1" s="16" t="inlineStr">
        <is>
          <t>จำนวน นร.</t>
        </is>
      </c>
      <c r="E1" s="16" t="inlineStr">
        <is>
          <t>ตำบล</t>
        </is>
      </c>
      <c r="F1" s="16" t="inlineStr">
        <is>
          <t>อำเภอ</t>
        </is>
      </c>
      <c r="G1" s="16" t="inlineStr">
        <is>
          <t>สถานะตามแผน 1.2</t>
        </is>
      </c>
      <c r="H1" s="16" t="inlineStr">
        <is>
          <t>คำอธิบายสถานะ</t>
        </is>
      </c>
      <c r="I1" s="16" t="inlineStr">
        <is>
          <t>รหัส รร.แม่เหล็กที่ใกล้ที่สุด</t>
        </is>
      </c>
      <c r="J1" s="16" t="inlineStr">
        <is>
          <t>ชื่อ รร.แม่เหล็ก</t>
        </is>
      </c>
      <c r="K1" s="16" t="inlineStr">
        <is>
          <t>อำเภอ (รร.แม่เหล็ก)</t>
        </is>
      </c>
      <c r="L1" s="16" t="inlineStr">
        <is>
          <t>ระยะทางตามถนน (กม.)</t>
        </is>
      </c>
      <c r="M1" s="16" t="inlineStr">
        <is>
          <t>เวลาเที่ยวเดียวโดยประมาณ (นาที)</t>
        </is>
      </c>
      <c r="N1" s="16" t="inlineStr">
        <is>
          <t>ระยะเส้นตรง (กม.)</t>
        </is>
      </c>
      <c r="O1" s="16" t="inlineStr">
        <is>
          <t>ฐานข้อมูล</t>
        </is>
      </c>
    </row>
    <row r="2">
      <c r="A2" s="19" t="n">
        <v>1</v>
      </c>
      <c r="B2" s="21" t="inlineStr">
        <is>
          <t>1071020377</t>
        </is>
      </c>
      <c r="C2" s="17" t="inlineStr">
        <is>
          <t>บ้านท่าแย้</t>
        </is>
      </c>
      <c r="D2" s="18" t="n">
        <v>102</v>
      </c>
      <c r="E2" s="17" t="inlineStr">
        <is>
          <t>ด่านมะขามเตี้ย</t>
        </is>
      </c>
      <c r="F2" s="17" t="inlineStr">
        <is>
          <t>ด่านมะขามเตี้ย</t>
        </is>
      </c>
      <c r="G2" s="17" t="inlineStr">
        <is>
          <t>จับคู่ได้ภายในเกณฑ์</t>
        </is>
      </c>
      <c r="H2" s="17" t="inlineStr">
        <is>
          <t>มีผลระยะทางตามถนนไม่เกิน 10 กม.</t>
        </is>
      </c>
      <c r="I2" s="21" t="inlineStr">
        <is>
          <t>1071020372</t>
        </is>
      </c>
      <c r="J2" s="17" t="inlineStr">
        <is>
          <t>อนุบาลด่านมะขามเตี้ย</t>
        </is>
      </c>
      <c r="K2" s="17" t="inlineStr">
        <is>
          <t>ด่านมะขามเตี้ย</t>
        </is>
      </c>
      <c r="L2" s="20" t="n">
        <v>3.83</v>
      </c>
      <c r="M2" s="20" t="n">
        <v>6.01</v>
      </c>
      <c r="N2" s="20" t="n">
        <v>3.38</v>
      </c>
      <c r="O2" s="17" t="inlineStr">
        <is>
          <t>ผลวิเคราะห์โครงข่ายถนน</t>
        </is>
      </c>
    </row>
    <row r="3">
      <c r="A3" s="19" t="n">
        <v>2</v>
      </c>
      <c r="B3" s="21" t="inlineStr">
        <is>
          <t>1071020381</t>
        </is>
      </c>
      <c r="C3" s="17" t="inlineStr">
        <is>
          <t>บ้านท่าพุ</t>
        </is>
      </c>
      <c r="D3" s="18" t="n">
        <v>116</v>
      </c>
      <c r="E3" s="17" t="inlineStr">
        <is>
          <t>ด่านมะขามเตี้ย</t>
        </is>
      </c>
      <c r="F3" s="17" t="inlineStr">
        <is>
          <t>ด่านมะขามเตี้ย</t>
        </is>
      </c>
      <c r="G3" s="17" t="inlineStr">
        <is>
          <t>จับคู่ได้ภายในเกณฑ์</t>
        </is>
      </c>
      <c r="H3" s="17" t="inlineStr">
        <is>
          <t>มีผลระยะทางตามถนนไม่เกิน 10 กม.</t>
        </is>
      </c>
      <c r="I3" s="21" t="inlineStr">
        <is>
          <t>1071020372</t>
        </is>
      </c>
      <c r="J3" s="17" t="inlineStr">
        <is>
          <t>อนุบาลด่านมะขามเตี้ย</t>
        </is>
      </c>
      <c r="K3" s="17" t="inlineStr">
        <is>
          <t>ด่านมะขามเตี้ย</t>
        </is>
      </c>
      <c r="L3" s="20" t="n">
        <v>4.36</v>
      </c>
      <c r="M3" s="20" t="n">
        <v>6.93</v>
      </c>
      <c r="N3" s="20" t="n">
        <v>4.04</v>
      </c>
      <c r="O3" s="17" t="inlineStr">
        <is>
          <t>ผลวิเคราะห์โครงข่ายถนน</t>
        </is>
      </c>
    </row>
    <row r="4">
      <c r="A4" s="19" t="n">
        <v>3</v>
      </c>
      <c r="B4" s="21" t="inlineStr">
        <is>
          <t>1071020387</t>
        </is>
      </c>
      <c r="C4" s="17" t="inlineStr">
        <is>
          <t>บ้านท่ามะไฟ</t>
        </is>
      </c>
      <c r="D4" s="18" t="n">
        <v>90</v>
      </c>
      <c r="E4" s="17" t="inlineStr">
        <is>
          <t>จรเข้เผือก</t>
        </is>
      </c>
      <c r="F4" s="17" t="inlineStr">
        <is>
          <t>ด่านมะขามเตี้ย</t>
        </is>
      </c>
      <c r="G4" s="17" t="inlineStr">
        <is>
          <t>จับคู่ได้ภายในเกณฑ์</t>
        </is>
      </c>
      <c r="H4" s="17" t="inlineStr">
        <is>
          <t>มีผลระยะทางตามถนนไม่เกิน 10 กม.</t>
        </is>
      </c>
      <c r="I4" s="21" t="inlineStr">
        <is>
          <t>1071020372</t>
        </is>
      </c>
      <c r="J4" s="17" t="inlineStr">
        <is>
          <t>อนุบาลด่านมะขามเตี้ย</t>
        </is>
      </c>
      <c r="K4" s="17" t="inlineStr">
        <is>
          <t>ด่านมะขามเตี้ย</t>
        </is>
      </c>
      <c r="L4" s="20" t="n">
        <v>6.89</v>
      </c>
      <c r="M4" s="20" t="n">
        <v>10.72</v>
      </c>
      <c r="N4" s="20" t="n">
        <v>5.71</v>
      </c>
      <c r="O4" s="17" t="inlineStr">
        <is>
          <t>ผลวิเคราะห์โครงข่ายถนน</t>
        </is>
      </c>
    </row>
    <row r="5">
      <c r="A5" s="19" t="n">
        <v>4</v>
      </c>
      <c r="B5" s="21" t="inlineStr">
        <is>
          <t>1071020383</t>
        </is>
      </c>
      <c r="C5" s="17" t="inlineStr">
        <is>
          <t>บ้านหนองโสน</t>
        </is>
      </c>
      <c r="D5" s="18" t="n">
        <v>49</v>
      </c>
      <c r="E5" s="17" t="inlineStr">
        <is>
          <t>จรเข้เผือก</t>
        </is>
      </c>
      <c r="F5" s="17" t="inlineStr">
        <is>
          <t>ด่านมะขามเตี้ย</t>
        </is>
      </c>
      <c r="G5" s="17" t="inlineStr">
        <is>
          <t>จับคู่ได้ภายในเกณฑ์</t>
        </is>
      </c>
      <c r="H5" s="17" t="inlineStr">
        <is>
          <t>มีผลระยะทางตามถนนไม่เกิน 10 กม.</t>
        </is>
      </c>
      <c r="I5" s="21" t="inlineStr">
        <is>
          <t>1071020372</t>
        </is>
      </c>
      <c r="J5" s="17" t="inlineStr">
        <is>
          <t>อนุบาลด่านมะขามเตี้ย</t>
        </is>
      </c>
      <c r="K5" s="17" t="inlineStr">
        <is>
          <t>ด่านมะขามเตี้ย</t>
        </is>
      </c>
      <c r="L5" s="20" t="n">
        <v>8.33</v>
      </c>
      <c r="M5" s="20" t="n">
        <v>12.7</v>
      </c>
      <c r="N5" s="20" t="n">
        <v>7.68</v>
      </c>
      <c r="O5" s="17" t="inlineStr">
        <is>
          <t>ผลวิเคราะห์โครงข่ายถนน</t>
        </is>
      </c>
    </row>
    <row r="6">
      <c r="A6" s="19" t="n">
        <v>5</v>
      </c>
      <c r="B6" s="21" t="inlineStr">
        <is>
          <t>1071020375</t>
        </is>
      </c>
      <c r="C6" s="17" t="inlineStr">
        <is>
          <t>บ้านหนองหิน</t>
        </is>
      </c>
      <c r="D6" s="18" t="n">
        <v>20</v>
      </c>
      <c r="E6" s="17" t="inlineStr">
        <is>
          <t>ด่านมะขามเตี้ย</t>
        </is>
      </c>
      <c r="F6" s="17" t="inlineStr">
        <is>
          <t>ด่านมะขามเตี้ย</t>
        </is>
      </c>
      <c r="G6" s="17" t="inlineStr">
        <is>
          <t>จับคู่ได้ภายในเกณฑ์</t>
        </is>
      </c>
      <c r="H6" s="17" t="inlineStr">
        <is>
          <t>มีผลระยะทางตามถนนไม่เกิน 10 กม.</t>
        </is>
      </c>
      <c r="I6" s="21" t="inlineStr">
        <is>
          <t>1071020372</t>
        </is>
      </c>
      <c r="J6" s="17" t="inlineStr">
        <is>
          <t>อนุบาลด่านมะขามเตี้ย</t>
        </is>
      </c>
      <c r="K6" s="17" t="inlineStr">
        <is>
          <t>ด่านมะขามเตี้ย</t>
        </is>
      </c>
      <c r="L6" s="20" t="n">
        <v>9.93</v>
      </c>
      <c r="M6" s="20" t="n">
        <v>15.29</v>
      </c>
      <c r="N6" s="20" t="n">
        <v>8.880000000000001</v>
      </c>
      <c r="O6" s="17" t="inlineStr">
        <is>
          <t>ผลวิเคราะห์โครงข่ายถนน</t>
        </is>
      </c>
    </row>
    <row r="7">
      <c r="A7" s="19" t="n">
        <v>6</v>
      </c>
      <c r="B7" s="21" t="inlineStr">
        <is>
          <t>1071020392</t>
        </is>
      </c>
      <c r="C7" s="17" t="inlineStr">
        <is>
          <t>บ้านแหลมทอง</t>
        </is>
      </c>
      <c r="D7" s="18" t="n">
        <v>47</v>
      </c>
      <c r="E7" s="17" t="inlineStr">
        <is>
          <t>กลอนโด</t>
        </is>
      </c>
      <c r="F7" s="17" t="inlineStr">
        <is>
          <t>ด่านมะขามเตี้ย</t>
        </is>
      </c>
      <c r="G7" s="17" t="inlineStr">
        <is>
          <t>อยู่นอกเกณฑ์—มีผลเส้นทาง</t>
        </is>
      </c>
      <c r="H7" s="17" t="inlineStr">
        <is>
          <t>มีผลระยะทางตามถนนเกิน 10 กม.</t>
        </is>
      </c>
      <c r="I7" s="21" t="inlineStr">
        <is>
          <t>1071020372</t>
        </is>
      </c>
      <c r="J7" s="17" t="inlineStr">
        <is>
          <t>อนุบาลด่านมะขามเตี้ย</t>
        </is>
      </c>
      <c r="K7" s="17" t="inlineStr">
        <is>
          <t>ด่านมะขามเตี้ย</t>
        </is>
      </c>
      <c r="L7" s="20" t="n">
        <v>10.19</v>
      </c>
      <c r="M7" s="20" t="n">
        <v>14.86</v>
      </c>
      <c r="N7" s="20" t="n">
        <v>8.59</v>
      </c>
      <c r="O7" s="17" t="inlineStr">
        <is>
          <t>ผลวิเคราะห์โครงข่ายถนน</t>
        </is>
      </c>
    </row>
    <row r="8">
      <c r="A8" s="19" t="n">
        <v>7</v>
      </c>
      <c r="B8" s="21" t="inlineStr">
        <is>
          <t>1071020380</t>
        </is>
      </c>
      <c r="C8" s="17" t="inlineStr">
        <is>
          <t>บ้านหนองปากดง</t>
        </is>
      </c>
      <c r="D8" s="18" t="n">
        <v>85</v>
      </c>
      <c r="E8" s="17" t="inlineStr">
        <is>
          <t>หนองไผ่</t>
        </is>
      </c>
      <c r="F8" s="17" t="inlineStr">
        <is>
          <t>ด่านมะขามเตี้ย</t>
        </is>
      </c>
      <c r="G8" s="17" t="inlineStr">
        <is>
          <t>อยู่นอกเกณฑ์—มีผลเส้นทาง</t>
        </is>
      </c>
      <c r="H8" s="17" t="inlineStr">
        <is>
          <t>มีผลระยะทางตามถนนเกิน 10 กม.</t>
        </is>
      </c>
      <c r="I8" s="21" t="inlineStr">
        <is>
          <t>1071020372</t>
        </is>
      </c>
      <c r="J8" s="17" t="inlineStr">
        <is>
          <t>อนุบาลด่านมะขามเตี้ย</t>
        </is>
      </c>
      <c r="K8" s="17" t="inlineStr">
        <is>
          <t>ด่านมะขามเตี้ย</t>
        </is>
      </c>
      <c r="L8" s="20" t="n">
        <v>11.81</v>
      </c>
      <c r="M8" s="20" t="n">
        <v>18.2</v>
      </c>
      <c r="N8" s="20" t="n">
        <v>10.8</v>
      </c>
      <c r="O8" s="17" t="inlineStr">
        <is>
          <t>ผลวิเคราะห์โครงข่ายถนน</t>
        </is>
      </c>
    </row>
    <row r="9">
      <c r="A9" s="19" t="n">
        <v>8</v>
      </c>
      <c r="B9" s="21" t="inlineStr">
        <is>
          <t>1071020389</t>
        </is>
      </c>
      <c r="C9" s="17" t="inlineStr">
        <is>
          <t>บ้านกลอนโด</t>
        </is>
      </c>
      <c r="D9" s="18" t="n">
        <v>95</v>
      </c>
      <c r="E9" s="17" t="inlineStr">
        <is>
          <t>กลอนโด</t>
        </is>
      </c>
      <c r="F9" s="17" t="inlineStr">
        <is>
          <t>ด่านมะขามเตี้ย</t>
        </is>
      </c>
      <c r="G9" s="17" t="inlineStr">
        <is>
          <t>อยู่นอกเกณฑ์—มีผลเส้นทาง</t>
        </is>
      </c>
      <c r="H9" s="17" t="inlineStr">
        <is>
          <t>มีผลระยะทางตามถนนเกิน 10 กม.</t>
        </is>
      </c>
      <c r="I9" s="21" t="inlineStr">
        <is>
          <t>1071020372</t>
        </is>
      </c>
      <c r="J9" s="17" t="inlineStr">
        <is>
          <t>อนุบาลด่านมะขามเตี้ย</t>
        </is>
      </c>
      <c r="K9" s="17" t="inlineStr">
        <is>
          <t>ด่านมะขามเตี้ย</t>
        </is>
      </c>
      <c r="L9" s="20" t="n">
        <v>12.03</v>
      </c>
      <c r="M9" s="20" t="n">
        <v>20.93</v>
      </c>
      <c r="N9" s="20" t="n">
        <v>8.789999999999999</v>
      </c>
      <c r="O9" s="17" t="inlineStr">
        <is>
          <t>ผลวิเคราะห์โครงข่ายถนน</t>
        </is>
      </c>
    </row>
    <row r="10">
      <c r="A10" s="19" t="n">
        <v>9</v>
      </c>
      <c r="B10" s="21" t="inlineStr">
        <is>
          <t>1071020384</t>
        </is>
      </c>
      <c r="C10" s="17" t="inlineStr">
        <is>
          <t>บ้านเนินไพร</t>
        </is>
      </c>
      <c r="D10" s="18" t="n">
        <v>67</v>
      </c>
      <c r="E10" s="17" t="inlineStr">
        <is>
          <t>ด่านมะขามเตี้ย</t>
        </is>
      </c>
      <c r="F10" s="17" t="inlineStr">
        <is>
          <t>ด่านมะขามเตี้ย</t>
        </is>
      </c>
      <c r="G10" s="17" t="inlineStr">
        <is>
          <t>อยู่นอกเกณฑ์—มีผลเส้นทาง</t>
        </is>
      </c>
      <c r="H10" s="17" t="inlineStr">
        <is>
          <t>มีผลระยะทางตามถนนเกิน 10 กม.</t>
        </is>
      </c>
      <c r="I10" s="21" t="inlineStr">
        <is>
          <t>1071020372</t>
        </is>
      </c>
      <c r="J10" s="17" t="inlineStr">
        <is>
          <t>อนุบาลด่านมะขามเตี้ย</t>
        </is>
      </c>
      <c r="K10" s="17" t="inlineStr">
        <is>
          <t>ด่านมะขามเตี้ย</t>
        </is>
      </c>
      <c r="L10" s="20" t="n">
        <v>12.2</v>
      </c>
      <c r="M10" s="20" t="n">
        <v>18.66</v>
      </c>
      <c r="N10" s="20" t="n">
        <v>11.11</v>
      </c>
      <c r="O10" s="17" t="inlineStr">
        <is>
          <t>ผลวิเคราะห์โครงข่ายถนน</t>
        </is>
      </c>
    </row>
    <row r="11">
      <c r="A11" s="19" t="n">
        <v>10</v>
      </c>
      <c r="B11" s="21" t="inlineStr">
        <is>
          <t>1071020376</t>
        </is>
      </c>
      <c r="C11" s="17" t="inlineStr">
        <is>
          <t>บ้านหนองปล้อง</t>
        </is>
      </c>
      <c r="D11" s="18" t="n">
        <v>83</v>
      </c>
      <c r="E11" s="17" t="inlineStr">
        <is>
          <t>ด่านมะขามเตี้ย</t>
        </is>
      </c>
      <c r="F11" s="17" t="inlineStr">
        <is>
          <t>ด่านมะขามเตี้ย</t>
        </is>
      </c>
      <c r="G11" s="17" t="inlineStr">
        <is>
          <t>อยู่นอกเกณฑ์—มีผลเส้นทาง</t>
        </is>
      </c>
      <c r="H11" s="17" t="inlineStr">
        <is>
          <t>มีผลระยะทางตามถนนเกิน 10 กม.</t>
        </is>
      </c>
      <c r="I11" s="21" t="inlineStr">
        <is>
          <t>1071020372</t>
        </is>
      </c>
      <c r="J11" s="17" t="inlineStr">
        <is>
          <t>อนุบาลด่านมะขามเตี้ย</t>
        </is>
      </c>
      <c r="K11" s="17" t="inlineStr">
        <is>
          <t>ด่านมะขามเตี้ย</t>
        </is>
      </c>
      <c r="L11" s="20" t="n">
        <v>13.1</v>
      </c>
      <c r="M11" s="20" t="n">
        <v>20.39</v>
      </c>
      <c r="N11" s="20" t="n">
        <v>11.69</v>
      </c>
      <c r="O11" s="17" t="inlineStr">
        <is>
          <t>ผลวิเคราะห์โครงข่ายถนน</t>
        </is>
      </c>
    </row>
    <row r="12">
      <c r="A12" s="19" t="n">
        <v>11</v>
      </c>
      <c r="B12" s="21" t="inlineStr">
        <is>
          <t>1071020397</t>
        </is>
      </c>
      <c r="C12" s="17" t="inlineStr">
        <is>
          <t>วัดถ้ำอ่างหิน</t>
        </is>
      </c>
      <c r="D12" s="18" t="n">
        <v>15</v>
      </c>
      <c r="E12" s="17" t="inlineStr">
        <is>
          <t>จรเข้เผือก</t>
        </is>
      </c>
      <c r="F12" s="17" t="inlineStr">
        <is>
          <t>ด่านมะขามเตี้ย</t>
        </is>
      </c>
      <c r="G12" s="17" t="inlineStr">
        <is>
          <t>อยู่นอกเกณฑ์—มีผลเส้นทาง</t>
        </is>
      </c>
      <c r="H12" s="17" t="inlineStr">
        <is>
          <t>มีผลระยะทางตามถนนเกิน 10 กม.</t>
        </is>
      </c>
      <c r="I12" s="21" t="inlineStr">
        <is>
          <t>1071020372</t>
        </is>
      </c>
      <c r="J12" s="17" t="inlineStr">
        <is>
          <t>อนุบาลด่านมะขามเตี้ย</t>
        </is>
      </c>
      <c r="K12" s="17" t="inlineStr">
        <is>
          <t>ด่านมะขามเตี้ย</t>
        </is>
      </c>
      <c r="L12" s="20" t="n">
        <v>13.45</v>
      </c>
      <c r="M12" s="20" t="n">
        <v>22.13</v>
      </c>
      <c r="N12" s="20" t="n">
        <v>11.68</v>
      </c>
      <c r="O12" s="17" t="inlineStr">
        <is>
          <t>ผลวิเคราะห์โครงข่ายถนน</t>
        </is>
      </c>
    </row>
    <row r="13">
      <c r="A13" s="19" t="n">
        <v>12</v>
      </c>
      <c r="B13" s="21" t="inlineStr">
        <is>
          <t>1071020396</t>
        </is>
      </c>
      <c r="C13" s="17" t="inlineStr">
        <is>
          <t>บ้านท่าเสด็จ</t>
        </is>
      </c>
      <c r="D13" s="18" t="n">
        <v>36</v>
      </c>
      <c r="E13" s="17" t="inlineStr">
        <is>
          <t>จรเข้เผือก</t>
        </is>
      </c>
      <c r="F13" s="17" t="inlineStr">
        <is>
          <t>ด่านมะขามเตี้ย</t>
        </is>
      </c>
      <c r="G13" s="17" t="inlineStr">
        <is>
          <t>อยู่นอกเกณฑ์—มีผลเส้นทาง</t>
        </is>
      </c>
      <c r="H13" s="17" t="inlineStr">
        <is>
          <t>มีผลระยะทางตามถนนเกิน 10 กม.</t>
        </is>
      </c>
      <c r="I13" s="21" t="inlineStr">
        <is>
          <t>1071020372</t>
        </is>
      </c>
      <c r="J13" s="17" t="inlineStr">
        <is>
          <t>อนุบาลด่านมะขามเตี้ย</t>
        </is>
      </c>
      <c r="K13" s="17" t="inlineStr">
        <is>
          <t>ด่านมะขามเตี้ย</t>
        </is>
      </c>
      <c r="L13" s="20" t="n">
        <v>14.31</v>
      </c>
      <c r="M13" s="20" t="n">
        <v>25.56</v>
      </c>
      <c r="N13" s="20" t="n">
        <v>9.65</v>
      </c>
      <c r="O13" s="17" t="inlineStr">
        <is>
          <t>ผลวิเคราะห์โครงข่ายถนน</t>
        </is>
      </c>
    </row>
    <row r="14">
      <c r="A14" s="19" t="n">
        <v>13</v>
      </c>
      <c r="B14" s="21" t="inlineStr">
        <is>
          <t>1071020400</t>
        </is>
      </c>
      <c r="C14" s="17" t="inlineStr">
        <is>
          <t>บ้านทุ่งยาว</t>
        </is>
      </c>
      <c r="D14" s="18" t="n">
        <v>46</v>
      </c>
      <c r="E14" s="17" t="inlineStr">
        <is>
          <t>จรเข้เผือก</t>
        </is>
      </c>
      <c r="F14" s="17" t="inlineStr">
        <is>
          <t>ด่านมะขามเตี้ย</t>
        </is>
      </c>
      <c r="G14" s="17" t="inlineStr">
        <is>
          <t>อยู่นอกเกณฑ์—มีผลเส้นทาง</t>
        </is>
      </c>
      <c r="H14" s="17" t="inlineStr">
        <is>
          <t>มีผลระยะทางตามถนนเกิน 10 กม.</t>
        </is>
      </c>
      <c r="I14" s="21" t="inlineStr">
        <is>
          <t>1071020372</t>
        </is>
      </c>
      <c r="J14" s="17" t="inlineStr">
        <is>
          <t>อนุบาลด่านมะขามเตี้ย</t>
        </is>
      </c>
      <c r="K14" s="17" t="inlineStr">
        <is>
          <t>ด่านมะขามเตี้ย</t>
        </is>
      </c>
      <c r="L14" s="20" t="n">
        <v>14.47</v>
      </c>
      <c r="M14" s="20" t="n">
        <v>22.19</v>
      </c>
      <c r="N14" s="20" t="n">
        <v>13.41</v>
      </c>
      <c r="O14" s="17" t="inlineStr">
        <is>
          <t>ผลวิเคราะห์โครงข่ายถนน</t>
        </is>
      </c>
    </row>
    <row r="15">
      <c r="A15" s="19" t="n">
        <v>14</v>
      </c>
      <c r="B15" s="21" t="inlineStr">
        <is>
          <t>1071020386</t>
        </is>
      </c>
      <c r="C15" s="17" t="inlineStr">
        <is>
          <t>บ้านโป่งโก</t>
        </is>
      </c>
      <c r="D15" s="18" t="n">
        <v>101</v>
      </c>
      <c r="E15" s="17" t="inlineStr">
        <is>
          <t>จรเข้เผือก</t>
        </is>
      </c>
      <c r="F15" s="17" t="inlineStr">
        <is>
          <t>ด่านมะขามเตี้ย</t>
        </is>
      </c>
      <c r="G15" s="17" t="inlineStr">
        <is>
          <t>อยู่นอกเกณฑ์—มีผลเส้นทาง</t>
        </is>
      </c>
      <c r="H15" s="17" t="inlineStr">
        <is>
          <t>มีผลระยะทางตามถนนเกิน 10 กม.</t>
        </is>
      </c>
      <c r="I15" s="21" t="inlineStr">
        <is>
          <t>1071020372</t>
        </is>
      </c>
      <c r="J15" s="17" t="inlineStr">
        <is>
          <t>อนุบาลด่านมะขามเตี้ย</t>
        </is>
      </c>
      <c r="K15" s="17" t="inlineStr">
        <is>
          <t>ด่านมะขามเตี้ย</t>
        </is>
      </c>
      <c r="L15" s="20" t="n">
        <v>16.75</v>
      </c>
      <c r="M15" s="20" t="n">
        <v>25.61</v>
      </c>
      <c r="N15" s="20" t="n">
        <v>15.61</v>
      </c>
      <c r="O15" s="17" t="inlineStr">
        <is>
          <t>ผลวิเคราะห์โครงข่ายถนน</t>
        </is>
      </c>
    </row>
    <row r="16">
      <c r="A16" s="19" t="n">
        <v>15</v>
      </c>
      <c r="B16" s="21" t="inlineStr">
        <is>
          <t>1071020399</t>
        </is>
      </c>
      <c r="C16" s="17" t="inlineStr">
        <is>
          <t>บ้านหนองกวาง</t>
        </is>
      </c>
      <c r="D16" s="18" t="n">
        <v>91</v>
      </c>
      <c r="E16" s="17" t="inlineStr">
        <is>
          <t>จรเข้เผือก</t>
        </is>
      </c>
      <c r="F16" s="17" t="inlineStr">
        <is>
          <t>ด่านมะขามเตี้ย</t>
        </is>
      </c>
      <c r="G16" s="17" t="inlineStr">
        <is>
          <t>อยู่นอกเกณฑ์—มีผลเส้นทาง</t>
        </is>
      </c>
      <c r="H16" s="17" t="inlineStr">
        <is>
          <t>มีผลระยะทางตามถนนเกิน 10 กม.</t>
        </is>
      </c>
      <c r="I16" s="21" t="inlineStr">
        <is>
          <t>1071020372</t>
        </is>
      </c>
      <c r="J16" s="17" t="inlineStr">
        <is>
          <t>อนุบาลด่านมะขามเตี้ย</t>
        </is>
      </c>
      <c r="K16" s="17" t="inlineStr">
        <is>
          <t>ด่านมะขามเตี้ย</t>
        </is>
      </c>
      <c r="L16" s="20" t="n">
        <v>19.57</v>
      </c>
      <c r="M16" s="20" t="n">
        <v>31.36</v>
      </c>
      <c r="N16" s="20" t="n">
        <v>17.93</v>
      </c>
      <c r="O16" s="17" t="inlineStr">
        <is>
          <t>ผลวิเคราะห์โครงข่ายถนน</t>
        </is>
      </c>
    </row>
    <row r="17">
      <c r="A17" s="19" t="n">
        <v>16</v>
      </c>
      <c r="B17" s="21" t="inlineStr">
        <is>
          <t>1071020104</t>
        </is>
      </c>
      <c r="C17" s="17" t="inlineStr">
        <is>
          <t>บ้านใหม่(จีนาภักดิ์วิทยา)</t>
        </is>
      </c>
      <c r="D17" s="18" t="n">
        <v>102</v>
      </c>
      <c r="E17" s="17" t="inlineStr">
        <is>
          <t>บ้านใหม่</t>
        </is>
      </c>
      <c r="F17" s="17" t="inlineStr">
        <is>
          <t>ท่าม่วง</t>
        </is>
      </c>
      <c r="G17" s="17" t="inlineStr">
        <is>
          <t>จับคู่ได้ภายในเกณฑ์</t>
        </is>
      </c>
      <c r="H17" s="17" t="inlineStr">
        <is>
          <t>มีผลระยะทางตามถนนไม่เกิน 10 กม.</t>
        </is>
      </c>
      <c r="I17" s="21" t="inlineStr">
        <is>
          <t>1071020099</t>
        </is>
      </c>
      <c r="J17" s="17" t="inlineStr">
        <is>
          <t>วัดศรีโลหะราษฎร์บํารุง</t>
        </is>
      </c>
      <c r="K17" s="17" t="inlineStr">
        <is>
          <t>ท่าม่วง</t>
        </is>
      </c>
      <c r="L17" s="20" t="n">
        <v>3.38</v>
      </c>
      <c r="M17" s="20" t="n">
        <v>5.23</v>
      </c>
      <c r="N17" s="20" t="n">
        <v>2.5</v>
      </c>
      <c r="O17" s="17" t="inlineStr">
        <is>
          <t>ผลวิเคราะห์โครงข่ายถนน</t>
        </is>
      </c>
    </row>
    <row r="18">
      <c r="A18" s="19" t="n">
        <v>17</v>
      </c>
      <c r="B18" s="21" t="inlineStr">
        <is>
          <t>1071020102</t>
        </is>
      </c>
      <c r="C18" s="17" t="inlineStr">
        <is>
          <t>บ้านหนองตาบ่ง</t>
        </is>
      </c>
      <c r="D18" s="18" t="n">
        <v>89</v>
      </c>
      <c r="E18" s="17" t="inlineStr">
        <is>
          <t>วังขนาย</t>
        </is>
      </c>
      <c r="F18" s="17" t="inlineStr">
        <is>
          <t>ท่าม่วง</t>
        </is>
      </c>
      <c r="G18" s="17" t="inlineStr">
        <is>
          <t>จับคู่ได้ภายในเกณฑ์</t>
        </is>
      </c>
      <c r="H18" s="17" t="inlineStr">
        <is>
          <t>มีผลระยะทางตามถนนไม่เกิน 10 กม.</t>
        </is>
      </c>
      <c r="I18" s="21" t="inlineStr">
        <is>
          <t>1071020099</t>
        </is>
      </c>
      <c r="J18" s="17" t="inlineStr">
        <is>
          <t>วัดศรีโลหะราษฎร์บํารุง</t>
        </is>
      </c>
      <c r="K18" s="17" t="inlineStr">
        <is>
          <t>ท่าม่วง</t>
        </is>
      </c>
      <c r="L18" s="20" t="n">
        <v>4.25</v>
      </c>
      <c r="M18" s="20" t="n">
        <v>7.86</v>
      </c>
      <c r="N18" s="20" t="n">
        <v>3.43</v>
      </c>
      <c r="O18" s="17" t="inlineStr">
        <is>
          <t>ผลวิเคราะห์โครงข่ายถนน</t>
        </is>
      </c>
    </row>
    <row r="19">
      <c r="A19" s="19" t="n">
        <v>18</v>
      </c>
      <c r="B19" s="21" t="inlineStr">
        <is>
          <t>1071020105</t>
        </is>
      </c>
      <c r="C19" s="17" t="inlineStr">
        <is>
          <t>วัดม่วงชุม</t>
        </is>
      </c>
      <c r="D19" s="18" t="n">
        <v>41</v>
      </c>
      <c r="E19" s="17" t="inlineStr">
        <is>
          <t>ม่วงชุม</t>
        </is>
      </c>
      <c r="F19" s="17" t="inlineStr">
        <is>
          <t>ท่าม่วง</t>
        </is>
      </c>
      <c r="G19" s="17" t="inlineStr">
        <is>
          <t>จับคู่ได้ภายในเกณฑ์</t>
        </is>
      </c>
      <c r="H19" s="17" t="inlineStr">
        <is>
          <t>มีผลระยะทางตามถนนไม่เกิน 10 กม.</t>
        </is>
      </c>
      <c r="I19" s="21" t="inlineStr">
        <is>
          <t>1071020099</t>
        </is>
      </c>
      <c r="J19" s="17" t="inlineStr">
        <is>
          <t>วัดศรีโลหะราษฎร์บํารุง</t>
        </is>
      </c>
      <c r="K19" s="17" t="inlineStr">
        <is>
          <t>ท่าม่วง</t>
        </is>
      </c>
      <c r="L19" s="20" t="n">
        <v>4.43</v>
      </c>
      <c r="M19" s="20" t="n">
        <v>8.460000000000001</v>
      </c>
      <c r="N19" s="20" t="n">
        <v>3.05</v>
      </c>
      <c r="O19" s="17" t="inlineStr">
        <is>
          <t>ผลวิเคราะห์โครงข่ายถนน</t>
        </is>
      </c>
    </row>
    <row r="20">
      <c r="A20" s="19" t="n">
        <v>19</v>
      </c>
      <c r="B20" s="21" t="inlineStr">
        <is>
          <t>1071020113</t>
        </is>
      </c>
      <c r="C20" s="17" t="inlineStr">
        <is>
          <t>บ้านมะกอกหมู่(ปุญสิริวิทยา)</t>
        </is>
      </c>
      <c r="D20" s="18" t="n">
        <v>102</v>
      </c>
      <c r="E20" s="17" t="inlineStr">
        <is>
          <t>วังขนาย</t>
        </is>
      </c>
      <c r="F20" s="17" t="inlineStr">
        <is>
          <t>ท่าม่วง</t>
        </is>
      </c>
      <c r="G20" s="17" t="inlineStr">
        <is>
          <t>จับคู่ได้ภายในเกณฑ์</t>
        </is>
      </c>
      <c r="H20" s="17" t="inlineStr">
        <is>
          <t>มีผลระยะทางตามถนนไม่เกิน 10 กม.</t>
        </is>
      </c>
      <c r="I20" s="21" t="inlineStr">
        <is>
          <t>1071020099</t>
        </is>
      </c>
      <c r="J20" s="17" t="inlineStr">
        <is>
          <t>วัดศรีโลหะราษฎร์บํารุง</t>
        </is>
      </c>
      <c r="K20" s="17" t="inlineStr">
        <is>
          <t>ท่าม่วง</t>
        </is>
      </c>
      <c r="L20" s="20" t="n">
        <v>4.77</v>
      </c>
      <c r="M20" s="20" t="n">
        <v>8.23</v>
      </c>
      <c r="N20" s="20" t="n">
        <v>3.43</v>
      </c>
      <c r="O20" s="17" t="inlineStr">
        <is>
          <t>ผลวิเคราะห์โครงข่ายถนน</t>
        </is>
      </c>
    </row>
    <row r="21">
      <c r="A21" s="19" t="n">
        <v>20</v>
      </c>
      <c r="B21" s="21" t="inlineStr">
        <is>
          <t>1071020106</t>
        </is>
      </c>
      <c r="C21" s="17" t="inlineStr">
        <is>
          <t>บ้านถ้ำ</t>
        </is>
      </c>
      <c r="D21" s="18" t="n">
        <v>44</v>
      </c>
      <c r="E21" s="17" t="inlineStr">
        <is>
          <t>เขาน้อย</t>
        </is>
      </c>
      <c r="F21" s="17" t="inlineStr">
        <is>
          <t>ท่าม่วง</t>
        </is>
      </c>
      <c r="G21" s="17" t="inlineStr">
        <is>
          <t>จับคู่ได้ภายในเกณฑ์</t>
        </is>
      </c>
      <c r="H21" s="17" t="inlineStr">
        <is>
          <t>มีผลระยะทางตามถนนไม่เกิน 10 กม.</t>
        </is>
      </c>
      <c r="I21" s="21" t="inlineStr">
        <is>
          <t>1071020099</t>
        </is>
      </c>
      <c r="J21" s="17" t="inlineStr">
        <is>
          <t>วัดศรีโลหะราษฎร์บํารุง</t>
        </is>
      </c>
      <c r="K21" s="17" t="inlineStr">
        <is>
          <t>ท่าม่วง</t>
        </is>
      </c>
      <c r="L21" s="20" t="n">
        <v>6.93</v>
      </c>
      <c r="M21" s="20" t="n">
        <v>13.34</v>
      </c>
      <c r="N21" s="20" t="n">
        <v>5.11</v>
      </c>
      <c r="O21" s="17" t="inlineStr">
        <is>
          <t>ผลวิเคราะห์โครงข่ายถนน</t>
        </is>
      </c>
    </row>
    <row r="22">
      <c r="A22" s="19" t="n">
        <v>21</v>
      </c>
      <c r="B22" s="21" t="inlineStr">
        <is>
          <t>1071020096</t>
        </is>
      </c>
      <c r="C22" s="17" t="inlineStr">
        <is>
          <t>วัดศรีสุวรรณาราม</t>
        </is>
      </c>
      <c r="D22" s="18" t="n">
        <v>107</v>
      </c>
      <c r="E22" s="17" t="inlineStr">
        <is>
          <t>ทุ่งทอง</t>
        </is>
      </c>
      <c r="F22" s="17" t="inlineStr">
        <is>
          <t>ท่าม่วง</t>
        </is>
      </c>
      <c r="G22" s="17" t="inlineStr">
        <is>
          <t>จับคู่ได้ภายในเกณฑ์</t>
        </is>
      </c>
      <c r="H22" s="17" t="inlineStr">
        <is>
          <t>มีผลระยะทางตามถนนไม่เกิน 10 กม.</t>
        </is>
      </c>
      <c r="I22" s="21" t="inlineStr">
        <is>
          <t>1071020099</t>
        </is>
      </c>
      <c r="J22" s="17" t="inlineStr">
        <is>
          <t>วัดศรีโลหะราษฎร์บํารุง</t>
        </is>
      </c>
      <c r="K22" s="17" t="inlineStr">
        <is>
          <t>ท่าม่วง</t>
        </is>
      </c>
      <c r="L22" s="20" t="n">
        <v>7.35</v>
      </c>
      <c r="M22" s="20" t="n">
        <v>11.66</v>
      </c>
      <c r="N22" s="20" t="n">
        <v>6.2</v>
      </c>
      <c r="O22" s="17" t="inlineStr">
        <is>
          <t>ผลวิเคราะห์โครงข่ายถนน</t>
        </is>
      </c>
    </row>
    <row r="23">
      <c r="A23" s="19" t="n">
        <v>22</v>
      </c>
      <c r="B23" s="21" t="inlineStr">
        <is>
          <t>1071020107</t>
        </is>
      </c>
      <c r="C23" s="17" t="inlineStr">
        <is>
          <t>บ้านดอนคราม</t>
        </is>
      </c>
      <c r="D23" s="18" t="n">
        <v>8</v>
      </c>
      <c r="E23" s="17" t="inlineStr">
        <is>
          <t>เขาน้อย</t>
        </is>
      </c>
      <c r="F23" s="17" t="inlineStr">
        <is>
          <t>ท่าม่วง</t>
        </is>
      </c>
      <c r="G23" s="17" t="inlineStr">
        <is>
          <t>จับคู่ได้ภายในเกณฑ์</t>
        </is>
      </c>
      <c r="H23" s="17" t="inlineStr">
        <is>
          <t>มีผลระยะทางตามถนนไม่เกิน 10 กม.</t>
        </is>
      </c>
      <c r="I23" s="21" t="inlineStr">
        <is>
          <t>1071020099</t>
        </is>
      </c>
      <c r="J23" s="17" t="inlineStr">
        <is>
          <t>วัดศรีโลหะราษฎร์บํารุง</t>
        </is>
      </c>
      <c r="K23" s="17" t="inlineStr">
        <is>
          <t>ท่าม่วง</t>
        </is>
      </c>
      <c r="L23" s="20" t="n">
        <v>8.26</v>
      </c>
      <c r="M23" s="20" t="n">
        <v>16.05</v>
      </c>
      <c r="N23" s="20" t="n">
        <v>5.13</v>
      </c>
      <c r="O23" s="17" t="inlineStr">
        <is>
          <t>ผลวิเคราะห์โครงข่ายถนน</t>
        </is>
      </c>
    </row>
    <row r="24">
      <c r="A24" s="19" t="n">
        <v>23</v>
      </c>
      <c r="B24" s="21" t="inlineStr">
        <is>
          <t>1071020112</t>
        </is>
      </c>
      <c r="C24" s="17" t="inlineStr">
        <is>
          <t>บ้านสระเศรษฐี</t>
        </is>
      </c>
      <c r="D24" s="18" t="n">
        <v>97</v>
      </c>
      <c r="E24" s="17" t="inlineStr">
        <is>
          <t>บ้านใหม่</t>
        </is>
      </c>
      <c r="F24" s="17" t="inlineStr">
        <is>
          <t>ท่าม่วง</t>
        </is>
      </c>
      <c r="G24" s="17" t="inlineStr">
        <is>
          <t>จับคู่ได้ภายในเกณฑ์</t>
        </is>
      </c>
      <c r="H24" s="17" t="inlineStr">
        <is>
          <t>มีผลระยะทางตามถนนไม่เกิน 10 กม.</t>
        </is>
      </c>
      <c r="I24" s="21" t="inlineStr">
        <is>
          <t>1071020099</t>
        </is>
      </c>
      <c r="J24" s="17" t="inlineStr">
        <is>
          <t>วัดศรีโลหะราษฎร์บํารุง</t>
        </is>
      </c>
      <c r="K24" s="17" t="inlineStr">
        <is>
          <t>ท่าม่วง</t>
        </is>
      </c>
      <c r="L24" s="20" t="n">
        <v>8.470000000000001</v>
      </c>
      <c r="M24" s="20" t="n">
        <v>11.5</v>
      </c>
      <c r="N24" s="20" t="n">
        <v>6.74</v>
      </c>
      <c r="O24" s="17" t="inlineStr">
        <is>
          <t>ผลวิเคราะห์โครงข่ายถนน</t>
        </is>
      </c>
    </row>
    <row r="25">
      <c r="A25" s="19" t="n">
        <v>24</v>
      </c>
      <c r="B25" s="21" t="inlineStr">
        <is>
          <t>1071020122</t>
        </is>
      </c>
      <c r="C25" s="17" t="inlineStr">
        <is>
          <t>วัดลําสำรอง</t>
        </is>
      </c>
      <c r="D25" s="18" t="n">
        <v>91</v>
      </c>
      <c r="E25" s="17" t="inlineStr">
        <is>
          <t>บ้านใหม่</t>
        </is>
      </c>
      <c r="F25" s="17" t="inlineStr">
        <is>
          <t>ท่าม่วง</t>
        </is>
      </c>
      <c r="G25" s="17" t="inlineStr">
        <is>
          <t>จับคู่ได้ภายในเกณฑ์</t>
        </is>
      </c>
      <c r="H25" s="17" t="inlineStr">
        <is>
          <t>มีผลระยะทางตามถนนไม่เกิน 10 กม.</t>
        </is>
      </c>
      <c r="I25" s="21" t="inlineStr">
        <is>
          <t>1071020099</t>
        </is>
      </c>
      <c r="J25" s="17" t="inlineStr">
        <is>
          <t>วัดศรีโลหะราษฎร์บํารุง</t>
        </is>
      </c>
      <c r="K25" s="17" t="inlineStr">
        <is>
          <t>ท่าม่วง</t>
        </is>
      </c>
      <c r="L25" s="20" t="n">
        <v>9.09</v>
      </c>
      <c r="M25" s="20" t="n">
        <v>14.67</v>
      </c>
      <c r="N25" s="20" t="n">
        <v>6.78</v>
      </c>
      <c r="O25" s="17" t="inlineStr">
        <is>
          <t>ผลวิเคราะห์โครงข่ายถนน</t>
        </is>
      </c>
    </row>
    <row r="26">
      <c r="A26" s="19" t="n">
        <v>25</v>
      </c>
      <c r="B26" s="21" t="inlineStr">
        <is>
          <t>1071020098</t>
        </is>
      </c>
      <c r="C26" s="17" t="inlineStr">
        <is>
          <t>วัดท่าล้อ</t>
        </is>
      </c>
      <c r="D26" s="18" t="n">
        <v>101</v>
      </c>
      <c r="E26" s="17" t="inlineStr">
        <is>
          <t>ท่าล้อ</t>
        </is>
      </c>
      <c r="F26" s="17" t="inlineStr">
        <is>
          <t>ท่าม่วง</t>
        </is>
      </c>
      <c r="G26" s="17" t="inlineStr">
        <is>
          <t>อยู่นอกเกณฑ์—มีผลเส้นทาง</t>
        </is>
      </c>
      <c r="H26" s="17" t="inlineStr">
        <is>
          <t>มีผลระยะทางตามถนนเกิน 10 กม.</t>
        </is>
      </c>
      <c r="I26" s="21" t="inlineStr">
        <is>
          <t>1071020099</t>
        </is>
      </c>
      <c r="J26" s="17" t="inlineStr">
        <is>
          <t>วัดศรีโลหะราษฎร์บํารุง</t>
        </is>
      </c>
      <c r="K26" s="17" t="inlineStr">
        <is>
          <t>ท่าม่วง</t>
        </is>
      </c>
      <c r="L26" s="20" t="n">
        <v>10.62</v>
      </c>
      <c r="M26" s="20" t="n">
        <v>13.06</v>
      </c>
      <c r="N26" s="20" t="n">
        <v>8.15</v>
      </c>
      <c r="O26" s="17" t="inlineStr">
        <is>
          <t>ผลวิเคราะห์โครงข่ายถนน</t>
        </is>
      </c>
    </row>
    <row r="27">
      <c r="A27" s="19" t="n">
        <v>26</v>
      </c>
      <c r="B27" s="21" t="inlineStr">
        <is>
          <t>1071020123</t>
        </is>
      </c>
      <c r="C27" s="17" t="inlineStr">
        <is>
          <t>บ้านรางสะเดา</t>
        </is>
      </c>
      <c r="D27" s="18" t="n">
        <v>14</v>
      </c>
      <c r="E27" s="17" t="inlineStr">
        <is>
          <t>พังตรุ</t>
        </is>
      </c>
      <c r="F27" s="17" t="inlineStr">
        <is>
          <t>ท่าม่วง</t>
        </is>
      </c>
      <c r="G27" s="17" t="inlineStr">
        <is>
          <t>อยู่นอกเกณฑ์—มีผลเส้นทาง</t>
        </is>
      </c>
      <c r="H27" s="17" t="inlineStr">
        <is>
          <t>มีผลระยะทางตามถนนเกิน 10 กม.</t>
        </is>
      </c>
      <c r="I27" s="21" t="inlineStr">
        <is>
          <t>1071020099</t>
        </is>
      </c>
      <c r="J27" s="17" t="inlineStr">
        <is>
          <t>วัดศรีโลหะราษฎร์บํารุง</t>
        </is>
      </c>
      <c r="K27" s="17" t="inlineStr">
        <is>
          <t>ท่าม่วง</t>
        </is>
      </c>
      <c r="L27" s="20" t="n">
        <v>11.24</v>
      </c>
      <c r="M27" s="20" t="n">
        <v>17.51</v>
      </c>
      <c r="N27" s="20" t="n">
        <v>7.74</v>
      </c>
      <c r="O27" s="17" t="inlineStr">
        <is>
          <t>ผลวิเคราะห์โครงข่ายถนน</t>
        </is>
      </c>
    </row>
    <row r="28">
      <c r="A28" s="19" t="n">
        <v>27</v>
      </c>
      <c r="B28" s="21" t="inlineStr">
        <is>
          <t>1071020134</t>
        </is>
      </c>
      <c r="C28" s="17" t="inlineStr">
        <is>
          <t>วัดสระกลอยสามัคคีธรรม</t>
        </is>
      </c>
      <c r="D28" s="18" t="n">
        <v>57</v>
      </c>
      <c r="E28" s="17" t="inlineStr">
        <is>
          <t>รางสาลี่</t>
        </is>
      </c>
      <c r="F28" s="17" t="inlineStr">
        <is>
          <t>ท่าม่วง</t>
        </is>
      </c>
      <c r="G28" s="17" t="inlineStr">
        <is>
          <t>อยู่นอกเกณฑ์—มีผลเส้นทาง</t>
        </is>
      </c>
      <c r="H28" s="17" t="inlineStr">
        <is>
          <t>มีผลระยะทางตามถนนเกิน 10 กม.</t>
        </is>
      </c>
      <c r="I28" s="21" t="inlineStr">
        <is>
          <t>1071020372</t>
        </is>
      </c>
      <c r="J28" s="17" t="inlineStr">
        <is>
          <t>อนุบาลด่านมะขามเตี้ย</t>
        </is>
      </c>
      <c r="K28" s="17" t="inlineStr">
        <is>
          <t>ด่านมะขามเตี้ย</t>
        </is>
      </c>
      <c r="L28" s="20" t="n">
        <v>13.86</v>
      </c>
      <c r="M28" s="20" t="n">
        <v>22.35</v>
      </c>
      <c r="N28" s="20" t="n">
        <v>10.72</v>
      </c>
      <c r="O28" s="17" t="inlineStr">
        <is>
          <t>ผลวิเคราะห์โครงข่ายถนน</t>
        </is>
      </c>
    </row>
    <row r="29">
      <c r="A29" s="19" t="n">
        <v>28</v>
      </c>
      <c r="B29" s="21" t="inlineStr">
        <is>
          <t>1071020135</t>
        </is>
      </c>
      <c r="C29" s="17" t="inlineStr">
        <is>
          <t>บ้านโกรกตารอด</t>
        </is>
      </c>
      <c r="D29" s="18" t="n">
        <v>52</v>
      </c>
      <c r="E29" s="17" t="inlineStr">
        <is>
          <t>หนองตากยา</t>
        </is>
      </c>
      <c r="F29" s="17" t="inlineStr">
        <is>
          <t>ท่าม่วง</t>
        </is>
      </c>
      <c r="G29" s="17" t="inlineStr">
        <is>
          <t>อยู่นอกเกณฑ์—มีผลเส้นทาง</t>
        </is>
      </c>
      <c r="H29" s="17" t="inlineStr">
        <is>
          <t>มีผลระยะทางตามถนนเกิน 10 กม.</t>
        </is>
      </c>
      <c r="I29" s="21" t="inlineStr">
        <is>
          <t>1071020372</t>
        </is>
      </c>
      <c r="J29" s="17" t="inlineStr">
        <is>
          <t>อนุบาลด่านมะขามเตี้ย</t>
        </is>
      </c>
      <c r="K29" s="17" t="inlineStr">
        <is>
          <t>ด่านมะขามเตี้ย</t>
        </is>
      </c>
      <c r="L29" s="20" t="n">
        <v>15.48</v>
      </c>
      <c r="M29" s="20" t="n">
        <v>24.43</v>
      </c>
      <c r="N29" s="20" t="n">
        <v>10.97</v>
      </c>
      <c r="O29" s="17" t="inlineStr">
        <is>
          <t>ผลวิเคราะห์โครงข่ายถนน</t>
        </is>
      </c>
    </row>
    <row r="30">
      <c r="A30" s="19" t="n">
        <v>29</v>
      </c>
      <c r="B30" s="21" t="inlineStr">
        <is>
          <t>1071020133</t>
        </is>
      </c>
      <c r="C30" s="17" t="inlineStr">
        <is>
          <t>จํารูญเนติศาสตร์</t>
        </is>
      </c>
      <c r="D30" s="18" t="n">
        <v>4</v>
      </c>
      <c r="E30" s="17" t="inlineStr">
        <is>
          <t>หนองตากยา</t>
        </is>
      </c>
      <c r="F30" s="17" t="inlineStr">
        <is>
          <t>ท่าม่วง</t>
        </is>
      </c>
      <c r="G30" s="17" t="inlineStr">
        <is>
          <t>อยู่นอกเกณฑ์—มีผลเส้นทาง</t>
        </is>
      </c>
      <c r="H30" s="17" t="inlineStr">
        <is>
          <t>มีผลระยะทางตามถนนเกิน 10 กม.</t>
        </is>
      </c>
      <c r="I30" s="21" t="inlineStr">
        <is>
          <t>1071020372</t>
        </is>
      </c>
      <c r="J30" s="17" t="inlineStr">
        <is>
          <t>อนุบาลด่านมะขามเตี้ย</t>
        </is>
      </c>
      <c r="K30" s="17" t="inlineStr">
        <is>
          <t>ด่านมะขามเตี้ย</t>
        </is>
      </c>
      <c r="L30" s="20" t="n">
        <v>18.11</v>
      </c>
      <c r="M30" s="20" t="n">
        <v>23.33</v>
      </c>
      <c r="N30" s="20" t="n">
        <v>14.81</v>
      </c>
      <c r="O30" s="17" t="inlineStr">
        <is>
          <t>ผลวิเคราะห์โครงข่ายถนน</t>
        </is>
      </c>
    </row>
    <row r="31">
      <c r="A31" s="19" t="n">
        <v>30</v>
      </c>
      <c r="B31" s="21" t="inlineStr">
        <is>
          <t>1071020131</t>
        </is>
      </c>
      <c r="C31" s="17" t="inlineStr">
        <is>
          <t>บ้านหนองน้ำขุ่น</t>
        </is>
      </c>
      <c r="D31" s="18" t="n">
        <v>70</v>
      </c>
      <c r="E31" s="17" t="inlineStr">
        <is>
          <t>บ้านใหม่</t>
        </is>
      </c>
      <c r="F31" s="17" t="inlineStr">
        <is>
          <t>ท่าม่วง</t>
        </is>
      </c>
      <c r="G31" s="17" t="inlineStr">
        <is>
          <t>อยู่นอกเกณฑ์—มีผลเส้นทาง</t>
        </is>
      </c>
      <c r="H31" s="17" t="inlineStr">
        <is>
          <t>มีผลระยะทางตามถนนเกิน 10 กม.</t>
        </is>
      </c>
      <c r="I31" s="21" t="inlineStr">
        <is>
          <t>1071020099</t>
        </is>
      </c>
      <c r="J31" s="17" t="inlineStr">
        <is>
          <t>วัดศรีโลหะราษฎร์บํารุง</t>
        </is>
      </c>
      <c r="K31" s="17" t="inlineStr">
        <is>
          <t>ท่าม่วง</t>
        </is>
      </c>
      <c r="L31" s="20" t="n">
        <v>19.43</v>
      </c>
      <c r="M31" s="20" t="n">
        <v>24.55</v>
      </c>
      <c r="N31" s="20" t="n">
        <v>15.39</v>
      </c>
      <c r="O31" s="17" t="inlineStr">
        <is>
          <t>ผลวิเคราะห์โครงข่ายถนน</t>
        </is>
      </c>
    </row>
    <row r="32">
      <c r="A32" s="19" t="n">
        <v>31</v>
      </c>
      <c r="B32" s="21" t="inlineStr">
        <is>
          <t>1071020130</t>
        </is>
      </c>
      <c r="C32" s="17" t="inlineStr">
        <is>
          <t>บ้านหนองอีเห็น</t>
        </is>
      </c>
      <c r="D32" s="18" t="n">
        <v>55</v>
      </c>
      <c r="E32" s="17" t="inlineStr">
        <is>
          <t>หนองตากยา</t>
        </is>
      </c>
      <c r="F32" s="17" t="inlineStr">
        <is>
          <t>ท่าม่วง</t>
        </is>
      </c>
      <c r="G32" s="17" t="inlineStr">
        <is>
          <t>อยู่นอกเกณฑ์—มีผลเส้นทาง</t>
        </is>
      </c>
      <c r="H32" s="17" t="inlineStr">
        <is>
          <t>มีผลระยะทางตามถนนเกิน 10 กม.</t>
        </is>
      </c>
      <c r="I32" s="21" t="inlineStr">
        <is>
          <t>1071020099</t>
        </is>
      </c>
      <c r="J32" s="17" t="inlineStr">
        <is>
          <t>วัดศรีโลหะราษฎร์บํารุง</t>
        </is>
      </c>
      <c r="K32" s="17" t="inlineStr">
        <is>
          <t>ท่าม่วง</t>
        </is>
      </c>
      <c r="L32" s="20" t="n">
        <v>24.13</v>
      </c>
      <c r="M32" s="20" t="n">
        <v>31.44</v>
      </c>
      <c r="N32" s="20" t="n">
        <v>16.91</v>
      </c>
      <c r="O32" s="17" t="inlineStr">
        <is>
          <t>ผลวิเคราะห์โครงข่ายถนน</t>
        </is>
      </c>
    </row>
    <row r="33">
      <c r="A33" s="19" t="n">
        <v>32</v>
      </c>
      <c r="B33" s="21" t="inlineStr">
        <is>
          <t>1071020128</t>
        </is>
      </c>
      <c r="C33" s="17" t="inlineStr">
        <is>
          <t>วัดหนองตะครอง</t>
        </is>
      </c>
      <c r="D33" s="18" t="n">
        <v>51</v>
      </c>
      <c r="E33" s="17" t="inlineStr">
        <is>
          <t>หนองตากยา</t>
        </is>
      </c>
      <c r="F33" s="17" t="inlineStr">
        <is>
          <t>ท่าม่วง</t>
        </is>
      </c>
      <c r="G33" s="17" t="inlineStr">
        <is>
          <t>อยู่นอกเกณฑ์—มีผลเส้นทาง</t>
        </is>
      </c>
      <c r="H33" s="17" t="inlineStr">
        <is>
          <t>มีผลระยะทางตามถนนเกิน 10 กม.</t>
        </is>
      </c>
      <c r="I33" s="21" t="inlineStr">
        <is>
          <t>1071020372</t>
        </is>
      </c>
      <c r="J33" s="17" t="inlineStr">
        <is>
          <t>อนุบาลด่านมะขามเตี้ย</t>
        </is>
      </c>
      <c r="K33" s="17" t="inlineStr">
        <is>
          <t>ด่านมะขามเตี้ย</t>
        </is>
      </c>
      <c r="L33" s="20" t="n">
        <v>24.45</v>
      </c>
      <c r="M33" s="20" t="n">
        <v>31.95</v>
      </c>
      <c r="N33" s="20" t="n">
        <v>19.73</v>
      </c>
      <c r="O33" s="17" t="inlineStr">
        <is>
          <t>ผลวิเคราะห์โครงข่ายถนน</t>
        </is>
      </c>
    </row>
    <row r="34">
      <c r="A34" s="19" t="n">
        <v>33</v>
      </c>
      <c r="B34" s="21" t="inlineStr">
        <is>
          <t>1071020349</t>
        </is>
      </c>
      <c r="C34" s="17" t="inlineStr">
        <is>
          <t>บ้านหม่องกระแทะ</t>
        </is>
      </c>
      <c r="D34" s="18" t="n">
        <v>82</v>
      </c>
      <c r="E34" s="17" t="inlineStr">
        <is>
          <t>ท่ากระดาน</t>
        </is>
      </c>
      <c r="F34" s="17" t="inlineStr">
        <is>
          <t>ศรีสวัสดิ์</t>
        </is>
      </c>
      <c r="G34" s="17" t="inlineStr">
        <is>
          <t>จับคู่ได้ภายในเกณฑ์</t>
        </is>
      </c>
      <c r="H34" s="17" t="inlineStr">
        <is>
          <t>มีผลระยะทางตามถนนไม่เกิน 10 กม.</t>
        </is>
      </c>
      <c r="I34" s="21" t="inlineStr">
        <is>
          <t>1071020350</t>
        </is>
      </c>
      <c r="J34" s="17" t="inlineStr">
        <is>
          <t>อนุบาลศรีสวัสดิ์</t>
        </is>
      </c>
      <c r="K34" s="17" t="inlineStr">
        <is>
          <t>ศรีสวัสดิ์</t>
        </is>
      </c>
      <c r="L34" s="20" t="n">
        <v>5.9</v>
      </c>
      <c r="M34" s="20" t="n">
        <v>7.58</v>
      </c>
      <c r="N34" s="20" t="n">
        <v>4.32</v>
      </c>
      <c r="O34" s="17" t="inlineStr">
        <is>
          <t>ผลวิเคราะห์โครงข่ายถนน</t>
        </is>
      </c>
    </row>
    <row r="35">
      <c r="A35" s="19" t="n">
        <v>34</v>
      </c>
      <c r="B35" s="21" t="inlineStr">
        <is>
          <t>1071020352</t>
        </is>
      </c>
      <c r="C35" s="17" t="inlineStr">
        <is>
          <t>บ้านพุน้ำเปรี้ยว</t>
        </is>
      </c>
      <c r="D35" s="18" t="n">
        <v>48</v>
      </c>
      <c r="E35" s="17" t="inlineStr">
        <is>
          <t>ด่านแม่แฉลบ</t>
        </is>
      </c>
      <c r="F35" s="17" t="inlineStr">
        <is>
          <t>ศรีสวัสดิ์</t>
        </is>
      </c>
      <c r="G35" s="17" t="inlineStr">
        <is>
          <t>จับคู่ได้ภายในเกณฑ์</t>
        </is>
      </c>
      <c r="H35" s="17" t="inlineStr">
        <is>
          <t>มีผลระยะทางตามถนนไม่เกิน 10 กม.</t>
        </is>
      </c>
      <c r="I35" s="21" t="inlineStr">
        <is>
          <t>1071020350</t>
        </is>
      </c>
      <c r="J35" s="17" t="inlineStr">
        <is>
          <t>อนุบาลศรีสวัสดิ์</t>
        </is>
      </c>
      <c r="K35" s="17" t="inlineStr">
        <is>
          <t>ศรีสวัสดิ์</t>
        </is>
      </c>
      <c r="L35" s="20" t="n">
        <v>9.56</v>
      </c>
      <c r="M35" s="20" t="n">
        <v>13.25</v>
      </c>
      <c r="N35" s="20" t="n">
        <v>6.22</v>
      </c>
      <c r="O35" s="17" t="inlineStr">
        <is>
          <t>ผลวิเคราะห์โครงข่ายถนน</t>
        </is>
      </c>
    </row>
    <row r="36">
      <c r="A36" s="19" t="n">
        <v>35</v>
      </c>
      <c r="B36" s="21" t="inlineStr">
        <is>
          <t>1071020353</t>
        </is>
      </c>
      <c r="C36" s="17" t="inlineStr">
        <is>
          <t>บ้านท่าสนุ่น</t>
        </is>
      </c>
      <c r="D36" s="18" t="n">
        <v>60</v>
      </c>
      <c r="E36" s="17" t="inlineStr">
        <is>
          <t>ด่านแม่แฉลบ</t>
        </is>
      </c>
      <c r="F36" s="17" t="inlineStr">
        <is>
          <t>ศรีสวัสดิ์</t>
        </is>
      </c>
      <c r="G36" s="17" t="inlineStr">
        <is>
          <t>อยู่นอกเกณฑ์—มีผลเส้นทาง</t>
        </is>
      </c>
      <c r="H36" s="17" t="inlineStr">
        <is>
          <t>มีผลระยะทางตามถนนเกิน 10 กม.</t>
        </is>
      </c>
      <c r="I36" s="21" t="inlineStr">
        <is>
          <t>1071020350</t>
        </is>
      </c>
      <c r="J36" s="17" t="inlineStr">
        <is>
          <t>อนุบาลศรีสวัสดิ์</t>
        </is>
      </c>
      <c r="K36" s="17" t="inlineStr">
        <is>
          <t>ศรีสวัสดิ์</t>
        </is>
      </c>
      <c r="L36" s="20" t="n">
        <v>11.4</v>
      </c>
      <c r="M36" s="20" t="n">
        <v>13.97</v>
      </c>
      <c r="N36" s="20" t="n">
        <v>8.94</v>
      </c>
      <c r="O36" s="17" t="inlineStr">
        <is>
          <t>ผลวิเคราะห์โครงข่ายถนน</t>
        </is>
      </c>
    </row>
    <row r="37">
      <c r="A37" s="19" t="n">
        <v>36</v>
      </c>
      <c r="B37" s="21" t="inlineStr">
        <is>
          <t>1071020343</t>
        </is>
      </c>
      <c r="C37" s="17" t="inlineStr">
        <is>
          <t>บ้านองสิต</t>
        </is>
      </c>
      <c r="D37" s="18" t="n">
        <v>83</v>
      </c>
      <c r="E37" s="17" t="inlineStr">
        <is>
          <t>นาสวน</t>
        </is>
      </c>
      <c r="F37" s="17" t="inlineStr">
        <is>
          <t>ศรีสวัสดิ์</t>
        </is>
      </c>
      <c r="G37" s="17" t="inlineStr">
        <is>
          <t>อยู่นอกเกณฑ์—มีผลเส้นทาง</t>
        </is>
      </c>
      <c r="H37" s="17" t="inlineStr">
        <is>
          <t>มีผลระยะทางตามถนนเกิน 10 กม.</t>
        </is>
      </c>
      <c r="I37" s="21" t="inlineStr">
        <is>
          <t>1071020350</t>
        </is>
      </c>
      <c r="J37" s="17" t="inlineStr">
        <is>
          <t>อนุบาลศรีสวัสดิ์</t>
        </is>
      </c>
      <c r="K37" s="17" t="inlineStr">
        <is>
          <t>ศรีสวัสดิ์</t>
        </is>
      </c>
      <c r="L37" s="20" t="n">
        <v>54.09</v>
      </c>
      <c r="M37" s="20" t="n">
        <v>69.23999999999999</v>
      </c>
      <c r="N37" s="20" t="n">
        <v>27.55</v>
      </c>
      <c r="O37" s="17" t="inlineStr">
        <is>
          <t>ผลวิเคราะห์โครงข่ายถนน</t>
        </is>
      </c>
    </row>
    <row r="38">
      <c r="A38" s="19" t="n">
        <v>37</v>
      </c>
      <c r="B38" s="21" t="inlineStr">
        <is>
          <t>1071020346</t>
        </is>
      </c>
      <c r="C38" s="17" t="inlineStr">
        <is>
          <t>บ้านองหลุ</t>
        </is>
      </c>
      <c r="D38" s="18" t="n">
        <v>69</v>
      </c>
      <c r="E38" s="17" t="inlineStr">
        <is>
          <t>นาสวน</t>
        </is>
      </c>
      <c r="F38" s="17" t="inlineStr">
        <is>
          <t>ศรีสวัสดิ์</t>
        </is>
      </c>
      <c r="G38" s="17" t="inlineStr">
        <is>
          <t>อยู่นอกเกณฑ์—มีผลเส้นทาง</t>
        </is>
      </c>
      <c r="H38" s="17" t="inlineStr">
        <is>
          <t>มีผลระยะทางตามถนนเกิน 10 กม.</t>
        </is>
      </c>
      <c r="I38" s="21" t="inlineStr">
        <is>
          <t>1071020350</t>
        </is>
      </c>
      <c r="J38" s="17" t="inlineStr">
        <is>
          <t>อนุบาลศรีสวัสดิ์</t>
        </is>
      </c>
      <c r="K38" s="17" t="inlineStr">
        <is>
          <t>ศรีสวัสดิ์</t>
        </is>
      </c>
      <c r="L38" s="20" t="n">
        <v>64.28</v>
      </c>
      <c r="M38" s="20" t="n">
        <v>83.95</v>
      </c>
      <c r="N38" s="20" t="n">
        <v>37.35</v>
      </c>
      <c r="O38" s="17" t="inlineStr">
        <is>
          <t>ผลวิเคราะห์โครงข่ายถนน</t>
        </is>
      </c>
    </row>
    <row r="39">
      <c r="A39" s="19" t="n">
        <v>38</v>
      </c>
      <c r="B39" s="21" t="inlineStr">
        <is>
          <t>1071020345</t>
        </is>
      </c>
      <c r="C39" s="17" t="inlineStr">
        <is>
          <t>วัดถ้ำองจุ</t>
        </is>
      </c>
      <c r="D39" s="18" t="n">
        <v>65</v>
      </c>
      <c r="E39" s="17" t="inlineStr">
        <is>
          <t>นาสวน</t>
        </is>
      </c>
      <c r="F39" s="17" t="inlineStr">
        <is>
          <t>ศรีสวัสดิ์</t>
        </is>
      </c>
      <c r="G39" s="17" t="inlineStr">
        <is>
          <t>อยู่นอกเกณฑ์—มีผลเส้นทาง</t>
        </is>
      </c>
      <c r="H39" s="17" t="inlineStr">
        <is>
          <t>มีผลระยะทางตามถนนเกิน 10 กม.</t>
        </is>
      </c>
      <c r="I39" s="21" t="inlineStr">
        <is>
          <t>1071020350</t>
        </is>
      </c>
      <c r="J39" s="17" t="inlineStr">
        <is>
          <t>อนุบาลศรีสวัสดิ์</t>
        </is>
      </c>
      <c r="K39" s="17" t="inlineStr">
        <is>
          <t>ศรีสวัสดิ์</t>
        </is>
      </c>
      <c r="L39" s="20" t="n">
        <v>67.23</v>
      </c>
      <c r="M39" s="20" t="n">
        <v>88.37</v>
      </c>
      <c r="N39" s="20" t="n">
        <v>40.12</v>
      </c>
      <c r="O39" s="17" t="inlineStr">
        <is>
          <t>ผลวิเคราะห์โครงข่ายถนน</t>
        </is>
      </c>
    </row>
    <row r="40">
      <c r="A40" s="19" t="n">
        <v>39</v>
      </c>
      <c r="B40" s="21" t="inlineStr">
        <is>
          <t>1071020022</t>
        </is>
      </c>
      <c r="C40" s="17" t="inlineStr">
        <is>
          <t>บ้านท่าหวี</t>
        </is>
      </c>
      <c r="D40" s="18" t="n">
        <v>107</v>
      </c>
      <c r="E40" s="17" t="inlineStr">
        <is>
          <t>ลาดหญ้า</t>
        </is>
      </c>
      <c r="F40" s="17" t="inlineStr">
        <is>
          <t>เมืองกาญจนบุรี</t>
        </is>
      </c>
      <c r="G40" s="17" t="inlineStr">
        <is>
          <t>จับคู่ได้ภายในเกณฑ์</t>
        </is>
      </c>
      <c r="H40" s="17" t="inlineStr">
        <is>
          <t>มีผลระยะทางตามถนนไม่เกิน 10 กม.</t>
        </is>
      </c>
      <c r="I40" s="21" t="inlineStr">
        <is>
          <t>1071020019</t>
        </is>
      </c>
      <c r="J40" s="17" t="inlineStr">
        <is>
          <t>วัดทุ่งลาดหญ้าลาดหญ้าวิทยา</t>
        </is>
      </c>
      <c r="K40" s="17" t="inlineStr">
        <is>
          <t>เมืองกาญจนบุรี</t>
        </is>
      </c>
      <c r="L40" s="20" t="n">
        <v>1.82</v>
      </c>
      <c r="M40" s="20" t="n">
        <v>2.92</v>
      </c>
      <c r="N40" s="20" t="n">
        <v>1.38</v>
      </c>
      <c r="O40" s="17" t="inlineStr">
        <is>
          <t>ผลวิเคราะห์โครงข่ายถนน</t>
        </is>
      </c>
    </row>
    <row r="41">
      <c r="A41" s="19" t="n">
        <v>40</v>
      </c>
      <c r="B41" s="21" t="inlineStr">
        <is>
          <t>1071020020</t>
        </is>
      </c>
      <c r="C41" s="17" t="inlineStr">
        <is>
          <t>วัดกาญจนบุรีเก่า อุดมราษฎร์วิทยา</t>
        </is>
      </c>
      <c r="D41" s="18" t="n">
        <v>82</v>
      </c>
      <c r="E41" s="17" t="inlineStr">
        <is>
          <t>ลาดหญ้า</t>
        </is>
      </c>
      <c r="F41" s="17" t="inlineStr">
        <is>
          <t>เมืองกาญจนบุรี</t>
        </is>
      </c>
      <c r="G41" s="17" t="inlineStr">
        <is>
          <t>จับคู่ได้ภายในเกณฑ์</t>
        </is>
      </c>
      <c r="H41" s="17" t="inlineStr">
        <is>
          <t>มีผลระยะทางตามถนนไม่เกิน 10 กม.</t>
        </is>
      </c>
      <c r="I41" s="21" t="inlineStr">
        <is>
          <t>1071020019</t>
        </is>
      </c>
      <c r="J41" s="17" t="inlineStr">
        <is>
          <t>วัดทุ่งลาดหญ้าลาดหญ้าวิทยา</t>
        </is>
      </c>
      <c r="K41" s="17" t="inlineStr">
        <is>
          <t>เมืองกาญจนบุรี</t>
        </is>
      </c>
      <c r="L41" s="20" t="n">
        <v>2.68</v>
      </c>
      <c r="M41" s="20" t="n">
        <v>4.74</v>
      </c>
      <c r="N41" s="20" t="n">
        <v>2.32</v>
      </c>
      <c r="O41" s="17" t="inlineStr">
        <is>
          <t>ผลวิเคราะห์โครงข่ายถนน</t>
        </is>
      </c>
    </row>
    <row r="42">
      <c r="A42" s="19" t="n">
        <v>41</v>
      </c>
      <c r="B42" s="21" t="inlineStr">
        <is>
          <t>1071020023</t>
        </is>
      </c>
      <c r="C42" s="17" t="inlineStr">
        <is>
          <t>บ้านจันอุย</t>
        </is>
      </c>
      <c r="D42" s="18" t="n">
        <v>46</v>
      </c>
      <c r="E42" s="17" t="inlineStr">
        <is>
          <t>ลาดหญ้า</t>
        </is>
      </c>
      <c r="F42" s="17" t="inlineStr">
        <is>
          <t>เมืองกาญจนบุรี</t>
        </is>
      </c>
      <c r="G42" s="17" t="inlineStr">
        <is>
          <t>จับคู่ได้ภายในเกณฑ์</t>
        </is>
      </c>
      <c r="H42" s="17" t="inlineStr">
        <is>
          <t>มีผลระยะทางตามถนนไม่เกิน 10 กม.</t>
        </is>
      </c>
      <c r="I42" s="21" t="inlineStr">
        <is>
          <t>1071020019</t>
        </is>
      </c>
      <c r="J42" s="17" t="inlineStr">
        <is>
          <t>วัดทุ่งลาดหญ้าลาดหญ้าวิทยา</t>
        </is>
      </c>
      <c r="K42" s="17" t="inlineStr">
        <is>
          <t>เมืองกาญจนบุรี</t>
        </is>
      </c>
      <c r="L42" s="20" t="n">
        <v>3.67</v>
      </c>
      <c r="M42" s="20" t="n">
        <v>6.63</v>
      </c>
      <c r="N42" s="20" t="n">
        <v>2.79</v>
      </c>
      <c r="O42" s="17" t="inlineStr">
        <is>
          <t>ผลวิเคราะห์โครงข่ายถนน</t>
        </is>
      </c>
    </row>
    <row r="43">
      <c r="A43" s="19" t="n">
        <v>42</v>
      </c>
      <c r="B43" s="21" t="inlineStr">
        <is>
          <t>1071020017</t>
        </is>
      </c>
      <c r="C43" s="17" t="inlineStr">
        <is>
          <t>สมาคมนักเรียนเก่าราชินี</t>
        </is>
      </c>
      <c r="D43" s="18" t="n">
        <v>72</v>
      </c>
      <c r="E43" s="17" t="inlineStr">
        <is>
          <t>หนองบัว</t>
        </is>
      </c>
      <c r="F43" s="17" t="inlineStr">
        <is>
          <t>เมืองกาญจนบุรี</t>
        </is>
      </c>
      <c r="G43" s="17" t="inlineStr">
        <is>
          <t>จับคู่ได้ภายในเกณฑ์</t>
        </is>
      </c>
      <c r="H43" s="17" t="inlineStr">
        <is>
          <t>มีผลระยะทางตามถนนไม่เกิน 10 กม.</t>
        </is>
      </c>
      <c r="I43" s="21" t="inlineStr">
        <is>
          <t>1071020019</t>
        </is>
      </c>
      <c r="J43" s="17" t="inlineStr">
        <is>
          <t>วัดทุ่งลาดหญ้าลาดหญ้าวิทยา</t>
        </is>
      </c>
      <c r="K43" s="17" t="inlineStr">
        <is>
          <t>เมืองกาญจนบุรี</t>
        </is>
      </c>
      <c r="L43" s="20" t="n">
        <v>5.4</v>
      </c>
      <c r="M43" s="20" t="n">
        <v>8.99</v>
      </c>
      <c r="N43" s="20" t="n">
        <v>3.56</v>
      </c>
      <c r="O43" s="17" t="inlineStr">
        <is>
          <t>ผลวิเคราะห์โครงข่ายถนน</t>
        </is>
      </c>
    </row>
    <row r="44">
      <c r="A44" s="19" t="n">
        <v>43</v>
      </c>
      <c r="B44" s="21" t="inlineStr">
        <is>
          <t>1071020012</t>
        </is>
      </c>
      <c r="C44" s="17" t="inlineStr">
        <is>
          <t>บ้านหนองบัว</t>
        </is>
      </c>
      <c r="D44" s="18" t="n">
        <v>81</v>
      </c>
      <c r="E44" s="17" t="inlineStr">
        <is>
          <t>หนองบัว</t>
        </is>
      </c>
      <c r="F44" s="17" t="inlineStr">
        <is>
          <t>เมืองกาญจนบุรี</t>
        </is>
      </c>
      <c r="G44" s="17" t="inlineStr">
        <is>
          <t>จับคู่ได้ภายในเกณฑ์</t>
        </is>
      </c>
      <c r="H44" s="17" t="inlineStr">
        <is>
          <t>มีผลระยะทางตามถนนไม่เกิน 10 กม.</t>
        </is>
      </c>
      <c r="I44" s="21" t="inlineStr">
        <is>
          <t>1071020019</t>
        </is>
      </c>
      <c r="J44" s="17" t="inlineStr">
        <is>
          <t>วัดทุ่งลาดหญ้าลาดหญ้าวิทยา</t>
        </is>
      </c>
      <c r="K44" s="17" t="inlineStr">
        <is>
          <t>เมืองกาญจนบุรี</t>
        </is>
      </c>
      <c r="L44" s="20" t="n">
        <v>8.470000000000001</v>
      </c>
      <c r="M44" s="20" t="n">
        <v>13.57</v>
      </c>
      <c r="N44" s="20" t="n">
        <v>6.47</v>
      </c>
      <c r="O44" s="17" t="inlineStr">
        <is>
          <t>ผลวิเคราะห์โครงข่ายถนน</t>
        </is>
      </c>
    </row>
    <row r="45">
      <c r="A45" s="19" t="n">
        <v>44</v>
      </c>
      <c r="B45" s="21" t="inlineStr">
        <is>
          <t>1071020011</t>
        </is>
      </c>
      <c r="C45" s="17" t="inlineStr">
        <is>
          <t>ท่าพะเนียดกุญชร</t>
        </is>
      </c>
      <c r="D45" s="18" t="n">
        <v>87</v>
      </c>
      <c r="E45" s="17" t="inlineStr">
        <is>
          <t>แก่งเสี้ยน</t>
        </is>
      </c>
      <c r="F45" s="17" t="inlineStr">
        <is>
          <t>เมืองกาญจนบุรี</t>
        </is>
      </c>
      <c r="G45" s="17" t="inlineStr">
        <is>
          <t>จับคู่ได้ภายในเกณฑ์</t>
        </is>
      </c>
      <c r="H45" s="17" t="inlineStr">
        <is>
          <t>มีผลระยะทางตามถนนไม่เกิน 10 กม.</t>
        </is>
      </c>
      <c r="I45" s="21" t="inlineStr">
        <is>
          <t>1071020019</t>
        </is>
      </c>
      <c r="J45" s="17" t="inlineStr">
        <is>
          <t>วัดทุ่งลาดหญ้าลาดหญ้าวิทยา</t>
        </is>
      </c>
      <c r="K45" s="17" t="inlineStr">
        <is>
          <t>เมืองกาญจนบุรี</t>
        </is>
      </c>
      <c r="L45" s="20" t="n">
        <v>8.77</v>
      </c>
      <c r="M45" s="20" t="n">
        <v>10.93</v>
      </c>
      <c r="N45" s="20" t="n">
        <v>7.1</v>
      </c>
      <c r="O45" s="17" t="inlineStr">
        <is>
          <t>ผลวิเคราะห์โครงข่ายถนน</t>
        </is>
      </c>
    </row>
    <row r="46">
      <c r="A46" s="19" t="n">
        <v>45</v>
      </c>
      <c r="B46" s="21" t="inlineStr">
        <is>
          <t>1071020021</t>
        </is>
      </c>
      <c r="C46" s="17" t="inlineStr">
        <is>
          <t>บ้านทุ่งนานางหรอก เพ็ญชาติอุปถัมภ์</t>
        </is>
      </c>
      <c r="D46" s="18" t="n">
        <v>89</v>
      </c>
      <c r="E46" s="17" t="inlineStr">
        <is>
          <t>ลาดหญ้า</t>
        </is>
      </c>
      <c r="F46" s="17" t="inlineStr">
        <is>
          <t>เมืองกาญจนบุรี</t>
        </is>
      </c>
      <c r="G46" s="17" t="inlineStr">
        <is>
          <t>จับคู่ได้ภายในเกณฑ์</t>
        </is>
      </c>
      <c r="H46" s="17" t="inlineStr">
        <is>
          <t>มีผลระยะทางตามถนนไม่เกิน 10 กม.</t>
        </is>
      </c>
      <c r="I46" s="21" t="inlineStr">
        <is>
          <t>1071020019</t>
        </is>
      </c>
      <c r="J46" s="17" t="inlineStr">
        <is>
          <t>วัดทุ่งลาดหญ้าลาดหญ้าวิทยา</t>
        </is>
      </c>
      <c r="K46" s="17" t="inlineStr">
        <is>
          <t>เมืองกาญจนบุรี</t>
        </is>
      </c>
      <c r="L46" s="20" t="n">
        <v>9.35</v>
      </c>
      <c r="M46" s="20" t="n">
        <v>12.48</v>
      </c>
      <c r="N46" s="20" t="n">
        <v>8.19</v>
      </c>
      <c r="O46" s="17" t="inlineStr">
        <is>
          <t>ผลวิเคราะห์โครงข่ายถนน</t>
        </is>
      </c>
    </row>
    <row r="47">
      <c r="A47" s="19" t="n">
        <v>46</v>
      </c>
      <c r="B47" s="21" t="inlineStr">
        <is>
          <t>1071020026</t>
        </is>
      </c>
      <c r="C47" s="17" t="inlineStr">
        <is>
          <t>บ้านหนองสามพราน</t>
        </is>
      </c>
      <c r="D47" s="18" t="n">
        <v>90</v>
      </c>
      <c r="E47" s="17" t="inlineStr">
        <is>
          <t>วังด้ง</t>
        </is>
      </c>
      <c r="F47" s="17" t="inlineStr">
        <is>
          <t>เมืองกาญจนบุรี</t>
        </is>
      </c>
      <c r="G47" s="17" t="inlineStr">
        <is>
          <t>อยู่นอกเกณฑ์—มีผลเส้นทาง</t>
        </is>
      </c>
      <c r="H47" s="17" t="inlineStr">
        <is>
          <t>มีผลระยะทางตามถนนเกิน 10 กม.</t>
        </is>
      </c>
      <c r="I47" s="21" t="inlineStr">
        <is>
          <t>1071020019</t>
        </is>
      </c>
      <c r="J47" s="17" t="inlineStr">
        <is>
          <t>วัดทุ่งลาดหญ้าลาดหญ้าวิทยา</t>
        </is>
      </c>
      <c r="K47" s="17" t="inlineStr">
        <is>
          <t>เมืองกาญจนบุรี</t>
        </is>
      </c>
      <c r="L47" s="20" t="n">
        <v>10.42</v>
      </c>
      <c r="M47" s="20" t="n">
        <v>13.68</v>
      </c>
      <c r="N47" s="20" t="n">
        <v>8.51</v>
      </c>
      <c r="O47" s="17" t="inlineStr">
        <is>
          <t>ผลวิเคราะห์โครงข่ายถนน</t>
        </is>
      </c>
    </row>
    <row r="48">
      <c r="A48" s="19" t="n">
        <v>47</v>
      </c>
      <c r="B48" s="21" t="inlineStr">
        <is>
          <t>1071020016</t>
        </is>
      </c>
      <c r="C48" s="17" t="inlineStr">
        <is>
          <t>บ้านพุประดู่</t>
        </is>
      </c>
      <c r="D48" s="18" t="n">
        <v>57</v>
      </c>
      <c r="E48" s="17" t="inlineStr">
        <is>
          <t>หนองบัว</t>
        </is>
      </c>
      <c r="F48" s="17" t="inlineStr">
        <is>
          <t>เมืองกาญจนบุรี</t>
        </is>
      </c>
      <c r="G48" s="17" t="inlineStr">
        <is>
          <t>อยู่นอกเกณฑ์—มีผลเส้นทาง</t>
        </is>
      </c>
      <c r="H48" s="17" t="inlineStr">
        <is>
          <t>มีผลระยะทางตามถนนเกิน 10 กม.</t>
        </is>
      </c>
      <c r="I48" s="21" t="inlineStr">
        <is>
          <t>1071020019</t>
        </is>
      </c>
      <c r="J48" s="17" t="inlineStr">
        <is>
          <t>วัดทุ่งลาดหญ้าลาดหญ้าวิทยา</t>
        </is>
      </c>
      <c r="K48" s="17" t="inlineStr">
        <is>
          <t>เมืองกาญจนบุรี</t>
        </is>
      </c>
      <c r="L48" s="20" t="n">
        <v>11.09</v>
      </c>
      <c r="M48" s="20" t="n">
        <v>14.86</v>
      </c>
      <c r="N48" s="20" t="n">
        <v>8.220000000000001</v>
      </c>
      <c r="O48" s="17" t="inlineStr">
        <is>
          <t>ผลวิเคราะห์โครงข่ายถนน</t>
        </is>
      </c>
    </row>
    <row r="49">
      <c r="A49" s="19" t="n">
        <v>48</v>
      </c>
      <c r="B49" s="21" t="inlineStr">
        <is>
          <t>1071020025</t>
        </is>
      </c>
      <c r="C49" s="17" t="inlineStr">
        <is>
          <t>บ้านหนองแก(สามัคคีวิทยา)</t>
        </is>
      </c>
      <c r="D49" s="18" t="n">
        <v>116</v>
      </c>
      <c r="E49" s="17" t="inlineStr">
        <is>
          <t>ลาดหญ้า</t>
        </is>
      </c>
      <c r="F49" s="17" t="inlineStr">
        <is>
          <t>เมืองกาญจนบุรี</t>
        </is>
      </c>
      <c r="G49" s="17" t="inlineStr">
        <is>
          <t>อยู่นอกเกณฑ์—มีผลเส้นทาง</t>
        </is>
      </c>
      <c r="H49" s="17" t="inlineStr">
        <is>
          <t>มีผลระยะทางตามถนนเกิน 10 กม.</t>
        </is>
      </c>
      <c r="I49" s="21" t="inlineStr">
        <is>
          <t>1071020019</t>
        </is>
      </c>
      <c r="J49" s="17" t="inlineStr">
        <is>
          <t>วัดทุ่งลาดหญ้าลาดหญ้าวิทยา</t>
        </is>
      </c>
      <c r="K49" s="17" t="inlineStr">
        <is>
          <t>เมืองกาญจนบุรี</t>
        </is>
      </c>
      <c r="L49" s="20" t="n">
        <v>11.7</v>
      </c>
      <c r="M49" s="20" t="n">
        <v>14.67</v>
      </c>
      <c r="N49" s="20" t="n">
        <v>10.25</v>
      </c>
      <c r="O49" s="17" t="inlineStr">
        <is>
          <t>ผลวิเคราะห์โครงข่ายถนน</t>
        </is>
      </c>
    </row>
    <row r="50">
      <c r="A50" s="19" t="n">
        <v>49</v>
      </c>
      <c r="B50" s="21" t="inlineStr">
        <is>
          <t>1071020050</t>
        </is>
      </c>
      <c r="C50" s="17" t="inlineStr">
        <is>
          <t>วัดพุน้อย</t>
        </is>
      </c>
      <c r="D50" s="18" t="n">
        <v>61</v>
      </c>
      <c r="E50" s="17" t="inlineStr">
        <is>
          <t>บ้านเก่า</t>
        </is>
      </c>
      <c r="F50" s="17" t="inlineStr">
        <is>
          <t>เมืองกาญจนบุรี</t>
        </is>
      </c>
      <c r="G50" s="17" t="inlineStr">
        <is>
          <t>อยู่นอกเกณฑ์—มีผลเส้นทาง</t>
        </is>
      </c>
      <c r="H50" s="17" t="inlineStr">
        <is>
          <t>มีผลระยะทางตามถนนเกิน 10 กม.</t>
        </is>
      </c>
      <c r="I50" s="21" t="inlineStr">
        <is>
          <t>1071020019</t>
        </is>
      </c>
      <c r="J50" s="17" t="inlineStr">
        <is>
          <t>วัดทุ่งลาดหญ้าลาดหญ้าวิทยา</t>
        </is>
      </c>
      <c r="K50" s="17" t="inlineStr">
        <is>
          <t>เมืองกาญจนบุรี</t>
        </is>
      </c>
      <c r="L50" s="20" t="n">
        <v>14.05</v>
      </c>
      <c r="M50" s="20" t="n">
        <v>17.4</v>
      </c>
      <c r="N50" s="20" t="n">
        <v>12.67</v>
      </c>
      <c r="O50" s="17" t="inlineStr">
        <is>
          <t>ผลวิเคราะห์โครงข่ายถนน</t>
        </is>
      </c>
    </row>
    <row r="51">
      <c r="A51" s="19" t="n">
        <v>50</v>
      </c>
      <c r="B51" s="21" t="inlineStr">
        <is>
          <t>1071020040</t>
        </is>
      </c>
      <c r="C51" s="17" t="inlineStr">
        <is>
          <t>บ้านวังปลาหมู</t>
        </is>
      </c>
      <c r="D51" s="18" t="n">
        <v>36</v>
      </c>
      <c r="E51" s="17" t="inlineStr">
        <is>
          <t>หนองหญ้า</t>
        </is>
      </c>
      <c r="F51" s="17" t="inlineStr">
        <is>
          <t>เมืองกาญจนบุรี</t>
        </is>
      </c>
      <c r="G51" s="17" t="inlineStr">
        <is>
          <t>อยู่นอกเกณฑ์—มีผลเส้นทาง</t>
        </is>
      </c>
      <c r="H51" s="17" t="inlineStr">
        <is>
          <t>มีผลระยะทางตามถนนเกิน 10 กม.</t>
        </is>
      </c>
      <c r="I51" s="21" t="inlineStr">
        <is>
          <t>1071020372</t>
        </is>
      </c>
      <c r="J51" s="17" t="inlineStr">
        <is>
          <t>อนุบาลด่านมะขามเตี้ย</t>
        </is>
      </c>
      <c r="K51" s="17" t="inlineStr">
        <is>
          <t>ด่านมะขามเตี้ย</t>
        </is>
      </c>
      <c r="L51" s="20" t="n">
        <v>14.99</v>
      </c>
      <c r="M51" s="20" t="n">
        <v>19.33</v>
      </c>
      <c r="N51" s="20" t="n">
        <v>10.24</v>
      </c>
      <c r="O51" s="17" t="inlineStr">
        <is>
          <t>ผลวิเคราะห์โครงข่ายถนน</t>
        </is>
      </c>
    </row>
    <row r="52">
      <c r="A52" s="19" t="n">
        <v>51</v>
      </c>
      <c r="B52" s="21" t="inlineStr">
        <is>
          <t>1071020004</t>
        </is>
      </c>
      <c r="C52" s="17" t="inlineStr">
        <is>
          <t>วัดบ้านยาง</t>
        </is>
      </c>
      <c r="D52" s="18" t="n">
        <v>70</v>
      </c>
      <c r="E52" s="17" t="inlineStr">
        <is>
          <t>ท่ามะขาม</t>
        </is>
      </c>
      <c r="F52" s="17" t="inlineStr">
        <is>
          <t>เมืองกาญจนบุรี</t>
        </is>
      </c>
      <c r="G52" s="17" t="inlineStr">
        <is>
          <t>อยู่นอกเกณฑ์—มีผลเส้นทาง</t>
        </is>
      </c>
      <c r="H52" s="17" t="inlineStr">
        <is>
          <t>มีผลระยะทางตามถนนเกิน 10 กม.</t>
        </is>
      </c>
      <c r="I52" s="21" t="inlineStr">
        <is>
          <t>1071020019</t>
        </is>
      </c>
      <c r="J52" s="17" t="inlineStr">
        <is>
          <t>วัดทุ่งลาดหญ้าลาดหญ้าวิทยา</t>
        </is>
      </c>
      <c r="K52" s="17" t="inlineStr">
        <is>
          <t>เมืองกาญจนบุรี</t>
        </is>
      </c>
      <c r="L52" s="20" t="n">
        <v>16.53</v>
      </c>
      <c r="M52" s="20" t="n">
        <v>22.52</v>
      </c>
      <c r="N52" s="20" t="n">
        <v>13.46</v>
      </c>
      <c r="O52" s="17" t="inlineStr">
        <is>
          <t>ผลวิเคราะห์โครงข่ายถนน</t>
        </is>
      </c>
    </row>
    <row r="53">
      <c r="A53" s="19" t="n">
        <v>52</v>
      </c>
      <c r="B53" s="21" t="inlineStr">
        <is>
          <t>1071020031</t>
        </is>
      </c>
      <c r="C53" s="17" t="inlineStr">
        <is>
          <t>บ้านท่าโป่ง</t>
        </is>
      </c>
      <c r="D53" s="18" t="n">
        <v>88</v>
      </c>
      <c r="E53" s="17" t="inlineStr">
        <is>
          <t>วังด้ง</t>
        </is>
      </c>
      <c r="F53" s="17" t="inlineStr">
        <is>
          <t>เมืองกาญจนบุรี</t>
        </is>
      </c>
      <c r="G53" s="17" t="inlineStr">
        <is>
          <t>อยู่นอกเกณฑ์—มีผลเส้นทาง</t>
        </is>
      </c>
      <c r="H53" s="17" t="inlineStr">
        <is>
          <t>มีผลระยะทางตามถนนเกิน 10 กม.</t>
        </is>
      </c>
      <c r="I53" s="21" t="inlineStr">
        <is>
          <t>1071020019</t>
        </is>
      </c>
      <c r="J53" s="17" t="inlineStr">
        <is>
          <t>วัดทุ่งลาดหญ้าลาดหญ้าวิทยา</t>
        </is>
      </c>
      <c r="K53" s="17" t="inlineStr">
        <is>
          <t>เมืองกาญจนบุรี</t>
        </is>
      </c>
      <c r="L53" s="20" t="n">
        <v>16.72</v>
      </c>
      <c r="M53" s="20" t="n">
        <v>27.95</v>
      </c>
      <c r="N53" s="20" t="n">
        <v>14.16</v>
      </c>
      <c r="O53" s="17" t="inlineStr">
        <is>
          <t>ผลวิเคราะห์โครงข่ายถนน</t>
        </is>
      </c>
    </row>
    <row r="54">
      <c r="A54" s="19" t="n">
        <v>53</v>
      </c>
      <c r="B54" s="21" t="inlineStr">
        <is>
          <t>1071020053</t>
        </is>
      </c>
      <c r="C54" s="17" t="inlineStr">
        <is>
          <t>บ้านดงยาง</t>
        </is>
      </c>
      <c r="D54" s="18" t="n">
        <v>43</v>
      </c>
      <c r="E54" s="17" t="inlineStr">
        <is>
          <t>วังเย็น</t>
        </is>
      </c>
      <c r="F54" s="17" t="inlineStr">
        <is>
          <t>เมืองกาญจนบุรี</t>
        </is>
      </c>
      <c r="G54" s="17" t="inlineStr">
        <is>
          <t>อยู่นอกเกณฑ์—มีผลเส้นทาง</t>
        </is>
      </c>
      <c r="H54" s="17" t="inlineStr">
        <is>
          <t>มีผลระยะทางตามถนนเกิน 10 กม.</t>
        </is>
      </c>
      <c r="I54" s="21" t="inlineStr">
        <is>
          <t>1071020372</t>
        </is>
      </c>
      <c r="J54" s="17" t="inlineStr">
        <is>
          <t>อนุบาลด่านมะขามเตี้ย</t>
        </is>
      </c>
      <c r="K54" s="17" t="inlineStr">
        <is>
          <t>ด่านมะขามเตี้ย</t>
        </is>
      </c>
      <c r="L54" s="20" t="n">
        <v>17.26</v>
      </c>
      <c r="M54" s="20" t="n">
        <v>23.94</v>
      </c>
      <c r="N54" s="20" t="n">
        <v>9.18</v>
      </c>
      <c r="O54" s="17" t="inlineStr">
        <is>
          <t>ผลวิเคราะห์โครงข่ายถนน</t>
        </is>
      </c>
    </row>
    <row r="55">
      <c r="A55" s="19" t="n">
        <v>54</v>
      </c>
      <c r="B55" s="21" t="inlineStr">
        <is>
          <t>1071020035</t>
        </is>
      </c>
      <c r="C55" s="17" t="inlineStr">
        <is>
          <t>วัดเขาน้อย</t>
        </is>
      </c>
      <c r="D55" s="18" t="n">
        <v>109</v>
      </c>
      <c r="E55" s="17" t="inlineStr">
        <is>
          <t>วังด้ง</t>
        </is>
      </c>
      <c r="F55" s="17" t="inlineStr">
        <is>
          <t>เมืองกาญจนบุรี</t>
        </is>
      </c>
      <c r="G55" s="17" t="inlineStr">
        <is>
          <t>อยู่นอกเกณฑ์—มีผลเส้นทาง</t>
        </is>
      </c>
      <c r="H55" s="17" t="inlineStr">
        <is>
          <t>มีผลระยะทางตามถนนเกิน 10 กม.</t>
        </is>
      </c>
      <c r="I55" s="21" t="inlineStr">
        <is>
          <t>1071020019</t>
        </is>
      </c>
      <c r="J55" s="17" t="inlineStr">
        <is>
          <t>วัดทุ่งลาดหญ้าลาดหญ้าวิทยา</t>
        </is>
      </c>
      <c r="K55" s="17" t="inlineStr">
        <is>
          <t>เมืองกาญจนบุรี</t>
        </is>
      </c>
      <c r="L55" s="20" t="n">
        <v>17.53</v>
      </c>
      <c r="M55" s="20" t="n">
        <v>30.53</v>
      </c>
      <c r="N55" s="20" t="n">
        <v>15.56</v>
      </c>
      <c r="O55" s="17" t="inlineStr">
        <is>
          <t>ผลวิเคราะห์โครงข่ายถนน</t>
        </is>
      </c>
    </row>
    <row r="56">
      <c r="A56" s="19" t="n">
        <v>55</v>
      </c>
      <c r="B56" s="21" t="inlineStr">
        <is>
          <t>1071020030</t>
        </is>
      </c>
      <c r="C56" s="17" t="inlineStr">
        <is>
          <t>บ้านท่ามะนาว</t>
        </is>
      </c>
      <c r="D56" s="18" t="n">
        <v>64</v>
      </c>
      <c r="E56" s="17" t="inlineStr">
        <is>
          <t>วังด้ง</t>
        </is>
      </c>
      <c r="F56" s="17" t="inlineStr">
        <is>
          <t>เมืองกาญจนบุรี</t>
        </is>
      </c>
      <c r="G56" s="17" t="inlineStr">
        <is>
          <t>อยู่นอกเกณฑ์—มีผลเส้นทาง</t>
        </is>
      </c>
      <c r="H56" s="17" t="inlineStr">
        <is>
          <t>มีผลระยะทางตามถนนเกิน 10 กม.</t>
        </is>
      </c>
      <c r="I56" s="21" t="inlineStr">
        <is>
          <t>1071020019</t>
        </is>
      </c>
      <c r="J56" s="17" t="inlineStr">
        <is>
          <t>วัดทุ่งลาดหญ้าลาดหญ้าวิทยา</t>
        </is>
      </c>
      <c r="K56" s="17" t="inlineStr">
        <is>
          <t>เมืองกาญจนบุรี</t>
        </is>
      </c>
      <c r="L56" s="20" t="n">
        <v>17.63</v>
      </c>
      <c r="M56" s="20" t="n">
        <v>21.75</v>
      </c>
      <c r="N56" s="20" t="n">
        <v>16.27</v>
      </c>
      <c r="O56" s="17" t="inlineStr">
        <is>
          <t>ผลวิเคราะห์โครงข่ายถนน</t>
        </is>
      </c>
    </row>
    <row r="57">
      <c r="A57" s="19" t="n">
        <v>56</v>
      </c>
      <c r="B57" s="21" t="inlineStr">
        <is>
          <t>1071020052</t>
        </is>
      </c>
      <c r="C57" s="17" t="inlineStr">
        <is>
          <t>บ้านนากาญจน์</t>
        </is>
      </c>
      <c r="D57" s="18" t="n">
        <v>70</v>
      </c>
      <c r="E57" s="17" t="inlineStr">
        <is>
          <t>วังเย็น</t>
        </is>
      </c>
      <c r="F57" s="17" t="inlineStr">
        <is>
          <t>เมืองกาญจนบุรี</t>
        </is>
      </c>
      <c r="G57" s="17" t="inlineStr">
        <is>
          <t>อยู่นอกเกณฑ์—มีผลเส้นทาง</t>
        </is>
      </c>
      <c r="H57" s="17" t="inlineStr">
        <is>
          <t>มีผลระยะทางตามถนนเกิน 10 กม.</t>
        </is>
      </c>
      <c r="I57" s="21" t="inlineStr">
        <is>
          <t>1071020372</t>
        </is>
      </c>
      <c r="J57" s="17" t="inlineStr">
        <is>
          <t>อนุบาลด่านมะขามเตี้ย</t>
        </is>
      </c>
      <c r="K57" s="17" t="inlineStr">
        <is>
          <t>ด่านมะขามเตี้ย</t>
        </is>
      </c>
      <c r="L57" s="20" t="n">
        <v>17.91</v>
      </c>
      <c r="M57" s="20" t="n">
        <v>23.03</v>
      </c>
      <c r="N57" s="20" t="n">
        <v>10.41</v>
      </c>
      <c r="O57" s="17" t="inlineStr">
        <is>
          <t>ผลวิเคราะห์โครงข่ายถนน</t>
        </is>
      </c>
    </row>
    <row r="58">
      <c r="A58" s="19" t="n">
        <v>57</v>
      </c>
      <c r="B58" s="21" t="inlineStr">
        <is>
          <t>1071020039</t>
        </is>
      </c>
      <c r="C58" s="17" t="inlineStr">
        <is>
          <t>วัดถ้ำมังกรทอง</t>
        </is>
      </c>
      <c r="D58" s="18" t="n">
        <v>30</v>
      </c>
      <c r="E58" s="17" t="inlineStr">
        <is>
          <t>เกาะสำโรง</t>
        </is>
      </c>
      <c r="F58" s="17" t="inlineStr">
        <is>
          <t>เมืองกาญจนบุรี</t>
        </is>
      </c>
      <c r="G58" s="17" t="inlineStr">
        <is>
          <t>อยู่นอกเกณฑ์—มีผลเส้นทาง</t>
        </is>
      </c>
      <c r="H58" s="17" t="inlineStr">
        <is>
          <t>มีผลระยะทางตามถนนเกิน 10 กม.</t>
        </is>
      </c>
      <c r="I58" s="21" t="inlineStr">
        <is>
          <t>1071020099</t>
        </is>
      </c>
      <c r="J58" s="17" t="inlineStr">
        <is>
          <t>วัดศรีโลหะราษฎร์บํารุง</t>
        </is>
      </c>
      <c r="K58" s="17" t="inlineStr">
        <is>
          <t>ท่าม่วง</t>
        </is>
      </c>
      <c r="L58" s="20" t="n">
        <v>17.93</v>
      </c>
      <c r="M58" s="20" t="n">
        <v>21.41</v>
      </c>
      <c r="N58" s="20" t="n">
        <v>13.71</v>
      </c>
      <c r="O58" s="17" t="inlineStr">
        <is>
          <t>ผลวิเคราะห์โครงข่ายถนน</t>
        </is>
      </c>
    </row>
    <row r="59">
      <c r="A59" s="19" t="n">
        <v>58</v>
      </c>
      <c r="B59" s="21" t="inlineStr">
        <is>
          <t>1071020048</t>
        </is>
      </c>
      <c r="C59" s="17" t="inlineStr">
        <is>
          <t>บ้านหนองกลางพง</t>
        </is>
      </c>
      <c r="D59" s="18" t="n">
        <v>57</v>
      </c>
      <c r="E59" s="17" t="inlineStr">
        <is>
          <t>วังเย็น</t>
        </is>
      </c>
      <c r="F59" s="17" t="inlineStr">
        <is>
          <t>เมืองกาญจนบุรี</t>
        </is>
      </c>
      <c r="G59" s="17" t="inlineStr">
        <is>
          <t>อยู่นอกเกณฑ์—มีผลเส้นทาง</t>
        </is>
      </c>
      <c r="H59" s="17" t="inlineStr">
        <is>
          <t>มีผลระยะทางตามถนนเกิน 10 กม.</t>
        </is>
      </c>
      <c r="I59" s="21" t="inlineStr">
        <is>
          <t>1071020372</t>
        </is>
      </c>
      <c r="J59" s="17" t="inlineStr">
        <is>
          <t>อนุบาลด่านมะขามเตี้ย</t>
        </is>
      </c>
      <c r="K59" s="17" t="inlineStr">
        <is>
          <t>ด่านมะขามเตี้ย</t>
        </is>
      </c>
      <c r="L59" s="20" t="n">
        <v>17.97</v>
      </c>
      <c r="M59" s="20" t="n">
        <v>30.2</v>
      </c>
      <c r="N59" s="20" t="n">
        <v>10.79</v>
      </c>
      <c r="O59" s="17" t="inlineStr">
        <is>
          <t>ผลวิเคราะห์โครงข่ายถนน</t>
        </is>
      </c>
    </row>
    <row r="60">
      <c r="A60" s="19" t="n">
        <v>59</v>
      </c>
      <c r="B60" s="21" t="inlineStr">
        <is>
          <t>1071020047</t>
        </is>
      </c>
      <c r="C60" s="17" t="inlineStr">
        <is>
          <t>บ้านวังตะเคียน</t>
        </is>
      </c>
      <c r="D60" s="18" t="n">
        <v>79</v>
      </c>
      <c r="E60" s="17" t="inlineStr">
        <is>
          <t>วังเย็น</t>
        </is>
      </c>
      <c r="F60" s="17" t="inlineStr">
        <is>
          <t>เมืองกาญจนบุรี</t>
        </is>
      </c>
      <c r="G60" s="17" t="inlineStr">
        <is>
          <t>อยู่นอกเกณฑ์—มีผลเส้นทาง</t>
        </is>
      </c>
      <c r="H60" s="17" t="inlineStr">
        <is>
          <t>มีผลระยะทางตามถนนเกิน 10 กม.</t>
        </is>
      </c>
      <c r="I60" s="21" t="inlineStr">
        <is>
          <t>1071020372</t>
        </is>
      </c>
      <c r="J60" s="17" t="inlineStr">
        <is>
          <t>อนุบาลด่านมะขามเตี้ย</t>
        </is>
      </c>
      <c r="K60" s="17" t="inlineStr">
        <is>
          <t>ด่านมะขามเตี้ย</t>
        </is>
      </c>
      <c r="L60" s="20" t="n">
        <v>18.21</v>
      </c>
      <c r="M60" s="20" t="n">
        <v>29.64</v>
      </c>
      <c r="N60" s="20" t="n">
        <v>12.73</v>
      </c>
      <c r="O60" s="17" t="inlineStr">
        <is>
          <t>ผลวิเคราะห์โครงข่ายถนน</t>
        </is>
      </c>
    </row>
    <row r="61">
      <c r="A61" s="19" t="n">
        <v>60</v>
      </c>
      <c r="B61" s="21" t="inlineStr">
        <is>
          <t>1071020006</t>
        </is>
      </c>
      <c r="C61" s="17" t="inlineStr">
        <is>
          <t>บ้านเขาปูน</t>
        </is>
      </c>
      <c r="D61" s="18" t="n">
        <v>34</v>
      </c>
      <c r="E61" s="17" t="inlineStr">
        <is>
          <t>หนองหญ้า</t>
        </is>
      </c>
      <c r="F61" s="17" t="inlineStr">
        <is>
          <t>เมืองกาญจนบุรี</t>
        </is>
      </c>
      <c r="G61" s="17" t="inlineStr">
        <is>
          <t>อยู่นอกเกณฑ์—มีผลเส้นทาง</t>
        </is>
      </c>
      <c r="H61" s="17" t="inlineStr">
        <is>
          <t>มีผลระยะทางตามถนนเกิน 10 กม.</t>
        </is>
      </c>
      <c r="I61" s="21" t="inlineStr">
        <is>
          <t>1071020019</t>
        </is>
      </c>
      <c r="J61" s="17" t="inlineStr">
        <is>
          <t>วัดทุ่งลาดหญ้าลาดหญ้าวิทยา</t>
        </is>
      </c>
      <c r="K61" s="17" t="inlineStr">
        <is>
          <t>เมืองกาญจนบุรี</t>
        </is>
      </c>
      <c r="L61" s="20" t="n">
        <v>19.25</v>
      </c>
      <c r="M61" s="20" t="n">
        <v>24.8</v>
      </c>
      <c r="N61" s="20" t="n">
        <v>14.78</v>
      </c>
      <c r="O61" s="17" t="inlineStr">
        <is>
          <t>ผลวิเคราะห์โครงข่ายถนน</t>
        </is>
      </c>
    </row>
    <row r="62">
      <c r="A62" s="19" t="n">
        <v>61</v>
      </c>
      <c r="B62" s="21" t="inlineStr">
        <is>
          <t>1071020049</t>
        </is>
      </c>
      <c r="C62" s="17" t="inlineStr">
        <is>
          <t>ลุ่มโป่งเสี้ยว</t>
        </is>
      </c>
      <c r="D62" s="18" t="n">
        <v>64</v>
      </c>
      <c r="E62" s="17" t="inlineStr">
        <is>
          <t>วังเย็น</t>
        </is>
      </c>
      <c r="F62" s="17" t="inlineStr">
        <is>
          <t>เมืองกาญจนบุรี</t>
        </is>
      </c>
      <c r="G62" s="17" t="inlineStr">
        <is>
          <t>อยู่นอกเกณฑ์—มีผลเส้นทาง</t>
        </is>
      </c>
      <c r="H62" s="17" t="inlineStr">
        <is>
          <t>มีผลระยะทางตามถนนเกิน 10 กม.</t>
        </is>
      </c>
      <c r="I62" s="21" t="inlineStr">
        <is>
          <t>1071020372</t>
        </is>
      </c>
      <c r="J62" s="17" t="inlineStr">
        <is>
          <t>อนุบาลด่านมะขามเตี้ย</t>
        </is>
      </c>
      <c r="K62" s="17" t="inlineStr">
        <is>
          <t>ด่านมะขามเตี้ย</t>
        </is>
      </c>
      <c r="L62" s="20" t="n">
        <v>20.79</v>
      </c>
      <c r="M62" s="20" t="n">
        <v>32.36</v>
      </c>
      <c r="N62" s="20" t="n">
        <v>13.53</v>
      </c>
      <c r="O62" s="17" t="inlineStr">
        <is>
          <t>ผลวิเคราะห์โครงข่ายถนน</t>
        </is>
      </c>
    </row>
    <row r="63">
      <c r="A63" s="19" t="n">
        <v>62</v>
      </c>
      <c r="B63" s="21" t="inlineStr">
        <is>
          <t>1071020045</t>
        </is>
      </c>
      <c r="C63" s="17" t="inlineStr">
        <is>
          <t>บ้านทุ่งนาคราช</t>
        </is>
      </c>
      <c r="D63" s="18" t="n">
        <v>113</v>
      </c>
      <c r="E63" s="17" t="inlineStr">
        <is>
          <t>หนองหญ้า</t>
        </is>
      </c>
      <c r="F63" s="17" t="inlineStr">
        <is>
          <t>เมืองกาญจนบุรี</t>
        </is>
      </c>
      <c r="G63" s="17" t="inlineStr">
        <is>
          <t>อยู่นอกเกณฑ์—มีผลเส้นทาง</t>
        </is>
      </c>
      <c r="H63" s="17" t="inlineStr">
        <is>
          <t>มีผลระยะทางตามถนนเกิน 10 กม.</t>
        </is>
      </c>
      <c r="I63" s="21" t="inlineStr">
        <is>
          <t>1071020372</t>
        </is>
      </c>
      <c r="J63" s="17" t="inlineStr">
        <is>
          <t>อนุบาลด่านมะขามเตี้ย</t>
        </is>
      </c>
      <c r="K63" s="17" t="inlineStr">
        <is>
          <t>ด่านมะขามเตี้ย</t>
        </is>
      </c>
      <c r="L63" s="20" t="n">
        <v>21.07</v>
      </c>
      <c r="M63" s="20" t="n">
        <v>28.06</v>
      </c>
      <c r="N63" s="20" t="n">
        <v>12.83</v>
      </c>
      <c r="O63" s="17" t="inlineStr">
        <is>
          <t>ผลวิเคราะห์โครงข่ายถนน</t>
        </is>
      </c>
    </row>
    <row r="64">
      <c r="A64" s="19" t="n">
        <v>63</v>
      </c>
      <c r="B64" s="21" t="inlineStr">
        <is>
          <t>1071020042</t>
        </is>
      </c>
      <c r="C64" s="17" t="inlineStr">
        <is>
          <t>วัดไทยวิวัฒนาราม</t>
        </is>
      </c>
      <c r="D64" s="18" t="n">
        <v>69</v>
      </c>
      <c r="E64" s="17" t="inlineStr">
        <is>
          <t>หนองหญ้า</t>
        </is>
      </c>
      <c r="F64" s="17" t="inlineStr">
        <is>
          <t>เมืองกาญจนบุรี</t>
        </is>
      </c>
      <c r="G64" s="17" t="inlineStr">
        <is>
          <t>อยู่นอกเกณฑ์—มีผลเส้นทาง</t>
        </is>
      </c>
      <c r="H64" s="17" t="inlineStr">
        <is>
          <t>มีผลระยะทางตามถนนเกิน 10 กม.</t>
        </is>
      </c>
      <c r="I64" s="21" t="inlineStr">
        <is>
          <t>1071020099</t>
        </is>
      </c>
      <c r="J64" s="17" t="inlineStr">
        <is>
          <t>วัดศรีโลหะราษฎร์บํารุง</t>
        </is>
      </c>
      <c r="K64" s="17" t="inlineStr">
        <is>
          <t>ท่าม่วง</t>
        </is>
      </c>
      <c r="L64" s="20" t="n">
        <v>21.7</v>
      </c>
      <c r="M64" s="20" t="n">
        <v>30.22</v>
      </c>
      <c r="N64" s="20" t="n">
        <v>16.15</v>
      </c>
      <c r="O64" s="17" t="inlineStr">
        <is>
          <t>ผลวิเคราะห์โครงข่ายถนน</t>
        </is>
      </c>
    </row>
    <row r="65">
      <c r="A65" s="19" t="n">
        <v>64</v>
      </c>
      <c r="B65" s="21" t="inlineStr">
        <is>
          <t>1071020059</t>
        </is>
      </c>
      <c r="C65" s="17" t="inlineStr">
        <is>
          <t>บ้านทุ่งศาลา</t>
        </is>
      </c>
      <c r="D65" s="18" t="n">
        <v>49</v>
      </c>
      <c r="E65" s="17" t="inlineStr">
        <is>
          <t>บ้านเก่า</t>
        </is>
      </c>
      <c r="F65" s="17" t="inlineStr">
        <is>
          <t>เมืองกาญจนบุรี</t>
        </is>
      </c>
      <c r="G65" s="17" t="inlineStr">
        <is>
          <t>อยู่นอกเกณฑ์—มีผลเส้นทาง</t>
        </is>
      </c>
      <c r="H65" s="17" t="inlineStr">
        <is>
          <t>มีผลระยะทางตามถนนเกิน 10 กม.</t>
        </is>
      </c>
      <c r="I65" s="21" t="inlineStr">
        <is>
          <t>1071020372</t>
        </is>
      </c>
      <c r="J65" s="17" t="inlineStr">
        <is>
          <t>อนุบาลด่านมะขามเตี้ย</t>
        </is>
      </c>
      <c r="K65" s="17" t="inlineStr">
        <is>
          <t>ด่านมะขามเตี้ย</t>
        </is>
      </c>
      <c r="L65" s="20" t="n">
        <v>22.95</v>
      </c>
      <c r="M65" s="20" t="n">
        <v>32.62</v>
      </c>
      <c r="N65" s="20" t="n">
        <v>18.04</v>
      </c>
      <c r="O65" s="17" t="inlineStr">
        <is>
          <t>ผลวิเคราะห์โครงข่ายถนน</t>
        </is>
      </c>
    </row>
    <row r="66">
      <c r="A66" s="19" t="n">
        <v>65</v>
      </c>
      <c r="B66" s="21" t="inlineStr">
        <is>
          <t>1071020054</t>
        </is>
      </c>
      <c r="C66" s="17" t="inlineStr">
        <is>
          <t>พัฒน์พงศ์</t>
        </is>
      </c>
      <c r="D66" s="18" t="n">
        <v>78</v>
      </c>
      <c r="E66" s="17" t="inlineStr">
        <is>
          <t>บ้านเก่า</t>
        </is>
      </c>
      <c r="F66" s="17" t="inlineStr">
        <is>
          <t>เมืองกาญจนบุรี</t>
        </is>
      </c>
      <c r="G66" s="17" t="inlineStr">
        <is>
          <t>อยู่นอกเกณฑ์—มีผลเส้นทาง</t>
        </is>
      </c>
      <c r="H66" s="17" t="inlineStr">
        <is>
          <t>มีผลระยะทางตามถนนเกิน 10 กม.</t>
        </is>
      </c>
      <c r="I66" s="21" t="inlineStr">
        <is>
          <t>1071020372</t>
        </is>
      </c>
      <c r="J66" s="17" t="inlineStr">
        <is>
          <t>อนุบาลด่านมะขามเตี้ย</t>
        </is>
      </c>
      <c r="K66" s="17" t="inlineStr">
        <is>
          <t>ด่านมะขามเตี้ย</t>
        </is>
      </c>
      <c r="L66" s="20" t="n">
        <v>23.62</v>
      </c>
      <c r="M66" s="20" t="n">
        <v>35.82</v>
      </c>
      <c r="N66" s="20" t="n">
        <v>19.95</v>
      </c>
      <c r="O66" s="17" t="inlineStr">
        <is>
          <t>ผลวิเคราะห์โครงข่ายถนน</t>
        </is>
      </c>
    </row>
  </sheetData>
  <autoFilter ref="A1:O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13" customWidth="1" min="4" max="4"/>
    <col width="15" customWidth="1" min="5" max="5"/>
    <col width="16" customWidth="1" min="6" max="6"/>
    <col width="14" customWidth="1" min="7" max="7"/>
    <col width="27" customWidth="1" min="8" max="8"/>
    <col width="13" customWidth="1" min="9" max="9"/>
    <col width="15" customWidth="1" min="10" max="10"/>
    <col width="16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6" t="inlineStr">
        <is>
          <t>ลำดับ</t>
        </is>
      </c>
      <c r="B1" s="16" t="inlineStr">
        <is>
          <t>รหัส รร.เล็กที่ผ่านเกณฑ์</t>
        </is>
      </c>
      <c r="C1" s="16" t="inlineStr">
        <is>
          <t>ชื่อ รร.เล็กที่ผ่านเกณฑ์</t>
        </is>
      </c>
      <c r="D1" s="16" t="inlineStr">
        <is>
          <t>จำนวน นร. (ต้นทาง)</t>
        </is>
      </c>
      <c r="E1" s="16" t="inlineStr">
        <is>
          <t>ตำบล (ต้นทาง)</t>
        </is>
      </c>
      <c r="F1" s="16" t="inlineStr">
        <is>
          <t>อำเภอ (ต้นทาง)</t>
        </is>
      </c>
      <c r="G1" s="16" t="inlineStr">
        <is>
          <t>รหัส รร.แม่เหล็ก</t>
        </is>
      </c>
      <c r="H1" s="16" t="inlineStr">
        <is>
          <t>ชื่อ รร.แม่เหล็ก</t>
        </is>
      </c>
      <c r="I1" s="16" t="inlineStr">
        <is>
          <t>จำนวน นร. (ปลายทาง)</t>
        </is>
      </c>
      <c r="J1" s="16" t="inlineStr">
        <is>
          <t>ตำบล (ปลายทาง)</t>
        </is>
      </c>
      <c r="K1" s="16" t="inlineStr">
        <is>
          <t>อำเภอ (ปลายทาง)</t>
        </is>
      </c>
      <c r="L1" s="16" t="inlineStr">
        <is>
          <t>ระยะทางสั้นที่สุดตามถนนเพื่อใช้คัดเกณฑ์ (ม.)</t>
        </is>
      </c>
      <c r="M1" s="16" t="inlineStr">
        <is>
          <t>ระยะทางสั้นที่สุดตามถนนเพื่อใช้คัดเกณฑ์ (กม.)</t>
        </is>
      </c>
      <c r="N1" s="16" t="inlineStr">
        <is>
          <t>เวลาเที่ยวเดียวโดยประมาณบนเส้นทางที่ใช้เวลาน้อยที่สุด (นาที)</t>
        </is>
      </c>
      <c r="O1" s="16" t="inlineStr">
        <is>
          <t>ระยะของเส้นทางที่ใช้เวลาน้อยที่สุด (กม.)</t>
        </is>
      </c>
      <c r="P1" s="16" t="inlineStr">
        <is>
          <t>ความเร็วเฉลี่ยบนเส้นทางที่ใช้เวลาน้อยที่สุด (กม./ชม.)</t>
        </is>
      </c>
    </row>
    <row r="2">
      <c r="A2" s="19" t="n">
        <v>1</v>
      </c>
      <c r="B2" s="21" t="inlineStr">
        <is>
          <t>1071020022</t>
        </is>
      </c>
      <c r="C2" s="17" t="inlineStr">
        <is>
          <t>บ้านท่าหวี</t>
        </is>
      </c>
      <c r="D2" s="18" t="n">
        <v>107</v>
      </c>
      <c r="E2" s="17" t="inlineStr">
        <is>
          <t>ลาดหญ้า</t>
        </is>
      </c>
      <c r="F2" s="17" t="inlineStr">
        <is>
          <t>เมืองกาญจนบุรี</t>
        </is>
      </c>
      <c r="G2" s="21" t="inlineStr">
        <is>
          <t>1071020019</t>
        </is>
      </c>
      <c r="H2" s="17" t="inlineStr">
        <is>
          <t>วัดทุ่งลาดหญ้าลาดหญ้าวิทยา</t>
        </is>
      </c>
      <c r="I2" s="18" t="n">
        <v>901</v>
      </c>
      <c r="J2" s="17" t="inlineStr">
        <is>
          <t>ลาดหญ้า</t>
        </is>
      </c>
      <c r="K2" s="17" t="inlineStr">
        <is>
          <t>เมืองกาญจนบุรี</t>
        </is>
      </c>
      <c r="L2" s="20" t="n">
        <v>1815.79</v>
      </c>
      <c r="M2" s="20" t="n">
        <v>1.82</v>
      </c>
      <c r="N2" s="20" t="n">
        <v>2.92</v>
      </c>
      <c r="O2" s="20" t="n">
        <v>1.82</v>
      </c>
      <c r="P2" s="20" t="n">
        <v>37.3</v>
      </c>
    </row>
    <row r="3">
      <c r="A3" s="19" t="n">
        <v>2</v>
      </c>
      <c r="B3" s="21" t="inlineStr">
        <is>
          <t>1071020020</t>
        </is>
      </c>
      <c r="C3" s="17" t="inlineStr">
        <is>
          <t>วัดกาญจนบุรีเก่า อุดมราษฎร์วิทยา</t>
        </is>
      </c>
      <c r="D3" s="18" t="n">
        <v>82</v>
      </c>
      <c r="E3" s="17" t="inlineStr">
        <is>
          <t>ลาดหญ้า</t>
        </is>
      </c>
      <c r="F3" s="17" t="inlineStr">
        <is>
          <t>เมืองกาญจนบุรี</t>
        </is>
      </c>
      <c r="G3" s="21" t="inlineStr">
        <is>
          <t>1071020019</t>
        </is>
      </c>
      <c r="H3" s="17" t="inlineStr">
        <is>
          <t>วัดทุ่งลาดหญ้าลาดหญ้าวิทยา</t>
        </is>
      </c>
      <c r="I3" s="18" t="n">
        <v>901</v>
      </c>
      <c r="J3" s="17" t="inlineStr">
        <is>
          <t>ลาดหญ้า</t>
        </is>
      </c>
      <c r="K3" s="17" t="inlineStr">
        <is>
          <t>เมืองกาญจนบุรี</t>
        </is>
      </c>
      <c r="L3" s="20" t="n">
        <v>2676.8</v>
      </c>
      <c r="M3" s="20" t="n">
        <v>2.68</v>
      </c>
      <c r="N3" s="20" t="n">
        <v>4.74</v>
      </c>
      <c r="O3" s="20" t="n">
        <v>2.83</v>
      </c>
      <c r="P3" s="20" t="n">
        <v>35.8</v>
      </c>
    </row>
    <row r="4">
      <c r="A4" s="19" t="n">
        <v>3</v>
      </c>
      <c r="B4" s="21" t="inlineStr">
        <is>
          <t>1071020104</t>
        </is>
      </c>
      <c r="C4" s="17" t="inlineStr">
        <is>
          <t>บ้านใหม่(จีนาภักดิ์วิทยา)</t>
        </is>
      </c>
      <c r="D4" s="18" t="n">
        <v>102</v>
      </c>
      <c r="E4" s="17" t="inlineStr">
        <is>
          <t>บ้านใหม่</t>
        </is>
      </c>
      <c r="F4" s="17" t="inlineStr">
        <is>
          <t>ท่าม่วง</t>
        </is>
      </c>
      <c r="G4" s="21" t="inlineStr">
        <is>
          <t>1071020099</t>
        </is>
      </c>
      <c r="H4" s="17" t="inlineStr">
        <is>
          <t>วัดศรีโลหะราษฎร์บํารุง</t>
        </is>
      </c>
      <c r="I4" s="18" t="n">
        <v>509</v>
      </c>
      <c r="J4" s="17" t="inlineStr">
        <is>
          <t>ท่าม่วง</t>
        </is>
      </c>
      <c r="K4" s="17" t="inlineStr">
        <is>
          <t>ท่าม่วง</t>
        </is>
      </c>
      <c r="L4" s="20" t="n">
        <v>3376.99</v>
      </c>
      <c r="M4" s="20" t="n">
        <v>3.38</v>
      </c>
      <c r="N4" s="20" t="n">
        <v>5.23</v>
      </c>
      <c r="O4" s="20" t="n">
        <v>3.8</v>
      </c>
      <c r="P4" s="20" t="n">
        <v>43.6</v>
      </c>
    </row>
    <row r="5">
      <c r="A5" s="19" t="n">
        <v>4</v>
      </c>
      <c r="B5" s="21" t="inlineStr">
        <is>
          <t>1071020023</t>
        </is>
      </c>
      <c r="C5" s="17" t="inlineStr">
        <is>
          <t>บ้านจันอุย</t>
        </is>
      </c>
      <c r="D5" s="18" t="n">
        <v>46</v>
      </c>
      <c r="E5" s="17" t="inlineStr">
        <is>
          <t>ลาดหญ้า</t>
        </is>
      </c>
      <c r="F5" s="17" t="inlineStr">
        <is>
          <t>เมืองกาญจนบุรี</t>
        </is>
      </c>
      <c r="G5" s="21" t="inlineStr">
        <is>
          <t>1071020019</t>
        </is>
      </c>
      <c r="H5" s="17" t="inlineStr">
        <is>
          <t>วัดทุ่งลาดหญ้าลาดหญ้าวิทยา</t>
        </is>
      </c>
      <c r="I5" s="18" t="n">
        <v>901</v>
      </c>
      <c r="J5" s="17" t="inlineStr">
        <is>
          <t>ลาดหญ้า</t>
        </is>
      </c>
      <c r="K5" s="17" t="inlineStr">
        <is>
          <t>เมืองกาญจนบุรี</t>
        </is>
      </c>
      <c r="L5" s="20" t="n">
        <v>3671.9</v>
      </c>
      <c r="M5" s="20" t="n">
        <v>3.67</v>
      </c>
      <c r="N5" s="20" t="n">
        <v>6.63</v>
      </c>
      <c r="O5" s="20" t="n">
        <v>3.67</v>
      </c>
      <c r="P5" s="20" t="n">
        <v>33.2</v>
      </c>
    </row>
    <row r="6">
      <c r="A6" s="19" t="n">
        <v>5</v>
      </c>
      <c r="B6" s="21" t="inlineStr">
        <is>
          <t>1071020377</t>
        </is>
      </c>
      <c r="C6" s="17" t="inlineStr">
        <is>
          <t>บ้านท่าแย้</t>
        </is>
      </c>
      <c r="D6" s="18" t="n">
        <v>102</v>
      </c>
      <c r="E6" s="17" t="inlineStr">
        <is>
          <t>ด่านมะขามเตี้ย</t>
        </is>
      </c>
      <c r="F6" s="17" t="inlineStr">
        <is>
          <t>ด่านมะขามเตี้ย</t>
        </is>
      </c>
      <c r="G6" s="21" t="inlineStr">
        <is>
          <t>1071020372</t>
        </is>
      </c>
      <c r="H6" s="17" t="inlineStr">
        <is>
          <t>อนุบาลด่านมะขามเตี้ย</t>
        </is>
      </c>
      <c r="I6" s="18" t="n">
        <v>341</v>
      </c>
      <c r="J6" s="17" t="inlineStr">
        <is>
          <t>ด่านมะขามเตี้ย</t>
        </is>
      </c>
      <c r="K6" s="17" t="inlineStr">
        <is>
          <t>ด่านมะขามเตี้ย</t>
        </is>
      </c>
      <c r="L6" s="20" t="n">
        <v>3831.48</v>
      </c>
      <c r="M6" s="20" t="n">
        <v>3.83</v>
      </c>
      <c r="N6" s="20" t="n">
        <v>6.01</v>
      </c>
      <c r="O6" s="20" t="n">
        <v>3.83</v>
      </c>
      <c r="P6" s="20" t="n">
        <v>38.2</v>
      </c>
    </row>
    <row r="7">
      <c r="A7" s="19" t="n">
        <v>6</v>
      </c>
      <c r="B7" s="21" t="inlineStr">
        <is>
          <t>1071020102</t>
        </is>
      </c>
      <c r="C7" s="17" t="inlineStr">
        <is>
          <t>บ้านหนองตาบ่ง</t>
        </is>
      </c>
      <c r="D7" s="18" t="n">
        <v>89</v>
      </c>
      <c r="E7" s="17" t="inlineStr">
        <is>
          <t>วังขนาย</t>
        </is>
      </c>
      <c r="F7" s="17" t="inlineStr">
        <is>
          <t>ท่าม่วง</t>
        </is>
      </c>
      <c r="G7" s="21" t="inlineStr">
        <is>
          <t>1071020099</t>
        </is>
      </c>
      <c r="H7" s="17" t="inlineStr">
        <is>
          <t>วัดศรีโลหะราษฎร์บํารุง</t>
        </is>
      </c>
      <c r="I7" s="18" t="n">
        <v>509</v>
      </c>
      <c r="J7" s="17" t="inlineStr">
        <is>
          <t>ท่าม่วง</t>
        </is>
      </c>
      <c r="K7" s="17" t="inlineStr">
        <is>
          <t>ท่าม่วง</t>
        </is>
      </c>
      <c r="L7" s="20" t="n">
        <v>4251.44</v>
      </c>
      <c r="M7" s="20" t="n">
        <v>4.25</v>
      </c>
      <c r="N7" s="20" t="n">
        <v>7.86</v>
      </c>
      <c r="O7" s="20" t="n">
        <v>4.62</v>
      </c>
      <c r="P7" s="20" t="n">
        <v>35.3</v>
      </c>
    </row>
    <row r="8">
      <c r="A8" s="19" t="n">
        <v>7</v>
      </c>
      <c r="B8" s="21" t="inlineStr">
        <is>
          <t>1071020381</t>
        </is>
      </c>
      <c r="C8" s="17" t="inlineStr">
        <is>
          <t>บ้านท่าพุ</t>
        </is>
      </c>
      <c r="D8" s="18" t="n">
        <v>116</v>
      </c>
      <c r="E8" s="17" t="inlineStr">
        <is>
          <t>ด่านมะขามเตี้ย</t>
        </is>
      </c>
      <c r="F8" s="17" t="inlineStr">
        <is>
          <t>ด่านมะขามเตี้ย</t>
        </is>
      </c>
      <c r="G8" s="21" t="inlineStr">
        <is>
          <t>1071020372</t>
        </is>
      </c>
      <c r="H8" s="17" t="inlineStr">
        <is>
          <t>อนุบาลด่านมะขามเตี้ย</t>
        </is>
      </c>
      <c r="I8" s="18" t="n">
        <v>341</v>
      </c>
      <c r="J8" s="17" t="inlineStr">
        <is>
          <t>ด่านมะขามเตี้ย</t>
        </is>
      </c>
      <c r="K8" s="17" t="inlineStr">
        <is>
          <t>ด่านมะขามเตี้ย</t>
        </is>
      </c>
      <c r="L8" s="20" t="n">
        <v>4360.76</v>
      </c>
      <c r="M8" s="20" t="n">
        <v>4.36</v>
      </c>
      <c r="N8" s="20" t="n">
        <v>6.93</v>
      </c>
      <c r="O8" s="20" t="n">
        <v>4.44</v>
      </c>
      <c r="P8" s="20" t="n">
        <v>38.5</v>
      </c>
    </row>
    <row r="9">
      <c r="A9" s="19" t="n">
        <v>8</v>
      </c>
      <c r="B9" s="21" t="inlineStr">
        <is>
          <t>1071020105</t>
        </is>
      </c>
      <c r="C9" s="17" t="inlineStr">
        <is>
          <t>วัดม่วงชุม</t>
        </is>
      </c>
      <c r="D9" s="18" t="n">
        <v>41</v>
      </c>
      <c r="E9" s="17" t="inlineStr">
        <is>
          <t>ม่วงชุม</t>
        </is>
      </c>
      <c r="F9" s="17" t="inlineStr">
        <is>
          <t>ท่าม่วง</t>
        </is>
      </c>
      <c r="G9" s="21" t="inlineStr">
        <is>
          <t>1071020099</t>
        </is>
      </c>
      <c r="H9" s="17" t="inlineStr">
        <is>
          <t>วัดศรีโลหะราษฎร์บํารุง</t>
        </is>
      </c>
      <c r="I9" s="18" t="n">
        <v>509</v>
      </c>
      <c r="J9" s="17" t="inlineStr">
        <is>
          <t>ท่าม่วง</t>
        </is>
      </c>
      <c r="K9" s="17" t="inlineStr">
        <is>
          <t>ท่าม่วง</t>
        </is>
      </c>
      <c r="L9" s="20" t="n">
        <v>4430.49</v>
      </c>
      <c r="M9" s="20" t="n">
        <v>4.43</v>
      </c>
      <c r="N9" s="20" t="n">
        <v>8.460000000000001</v>
      </c>
      <c r="O9" s="20" t="n">
        <v>4.43</v>
      </c>
      <c r="P9" s="20" t="n">
        <v>31.4</v>
      </c>
    </row>
    <row r="10">
      <c r="A10" s="19" t="n">
        <v>9</v>
      </c>
      <c r="B10" s="21" t="inlineStr">
        <is>
          <t>1071020113</t>
        </is>
      </c>
      <c r="C10" s="17" t="inlineStr">
        <is>
          <t>บ้านมะกอกหมู่(ปุญสิริวิทยา)</t>
        </is>
      </c>
      <c r="D10" s="18" t="n">
        <v>102</v>
      </c>
      <c r="E10" s="17" t="inlineStr">
        <is>
          <t>วังขนาย</t>
        </is>
      </c>
      <c r="F10" s="17" t="inlineStr">
        <is>
          <t>ท่าม่วง</t>
        </is>
      </c>
      <c r="G10" s="21" t="inlineStr">
        <is>
          <t>1071020099</t>
        </is>
      </c>
      <c r="H10" s="17" t="inlineStr">
        <is>
          <t>วัดศรีโลหะราษฎร์บํารุง</t>
        </is>
      </c>
      <c r="I10" s="18" t="n">
        <v>509</v>
      </c>
      <c r="J10" s="17" t="inlineStr">
        <is>
          <t>ท่าม่วง</t>
        </is>
      </c>
      <c r="K10" s="17" t="inlineStr">
        <is>
          <t>ท่าม่วง</t>
        </is>
      </c>
      <c r="L10" s="20" t="n">
        <v>4767.79</v>
      </c>
      <c r="M10" s="20" t="n">
        <v>4.77</v>
      </c>
      <c r="N10" s="20" t="n">
        <v>8.23</v>
      </c>
      <c r="O10" s="20" t="n">
        <v>5.96</v>
      </c>
      <c r="P10" s="20" t="n">
        <v>43.4</v>
      </c>
    </row>
    <row r="11">
      <c r="A11" s="19" t="n">
        <v>10</v>
      </c>
      <c r="B11" s="21" t="inlineStr">
        <is>
          <t>1071020017</t>
        </is>
      </c>
      <c r="C11" s="17" t="inlineStr">
        <is>
          <t>สมาคมนักเรียนเก่าราชินี</t>
        </is>
      </c>
      <c r="D11" s="18" t="n">
        <v>72</v>
      </c>
      <c r="E11" s="17" t="inlineStr">
        <is>
          <t>หนองบัว</t>
        </is>
      </c>
      <c r="F11" s="17" t="inlineStr">
        <is>
          <t>เมืองกาญจนบุรี</t>
        </is>
      </c>
      <c r="G11" s="21" t="inlineStr">
        <is>
          <t>1071020019</t>
        </is>
      </c>
      <c r="H11" s="17" t="inlineStr">
        <is>
          <t>วัดทุ่งลาดหญ้าลาดหญ้าวิทยา</t>
        </is>
      </c>
      <c r="I11" s="18" t="n">
        <v>901</v>
      </c>
      <c r="J11" s="17" t="inlineStr">
        <is>
          <t>ลาดหญ้า</t>
        </is>
      </c>
      <c r="K11" s="17" t="inlineStr">
        <is>
          <t>เมืองกาญจนบุรี</t>
        </is>
      </c>
      <c r="L11" s="20" t="n">
        <v>5398.69</v>
      </c>
      <c r="M11" s="20" t="n">
        <v>5.4</v>
      </c>
      <c r="N11" s="20" t="n">
        <v>8.99</v>
      </c>
      <c r="O11" s="20" t="n">
        <v>5.4</v>
      </c>
      <c r="P11" s="20" t="n">
        <v>36</v>
      </c>
    </row>
    <row r="12">
      <c r="A12" s="19" t="n">
        <v>11</v>
      </c>
      <c r="B12" s="21" t="inlineStr">
        <is>
          <t>1071020349</t>
        </is>
      </c>
      <c r="C12" s="17" t="inlineStr">
        <is>
          <t>บ้านหม่องกระแทะ</t>
        </is>
      </c>
      <c r="D12" s="18" t="n">
        <v>82</v>
      </c>
      <c r="E12" s="17" t="inlineStr">
        <is>
          <t>ท่ากระดาน</t>
        </is>
      </c>
      <c r="F12" s="17" t="inlineStr">
        <is>
          <t>ศรีสวัสดิ์</t>
        </is>
      </c>
      <c r="G12" s="21" t="inlineStr">
        <is>
          <t>1071020350</t>
        </is>
      </c>
      <c r="H12" s="17" t="inlineStr">
        <is>
          <t>อนุบาลศรีสวัสดิ์</t>
        </is>
      </c>
      <c r="I12" s="18" t="n">
        <v>194</v>
      </c>
      <c r="J12" s="17" t="inlineStr">
        <is>
          <t>หนองเป็ด</t>
        </is>
      </c>
      <c r="K12" s="17" t="inlineStr">
        <is>
          <t>ศรีสวัสดิ์</t>
        </is>
      </c>
      <c r="L12" s="20" t="n">
        <v>5896.43</v>
      </c>
      <c r="M12" s="20" t="n">
        <v>5.9</v>
      </c>
      <c r="N12" s="20" t="n">
        <v>7.58</v>
      </c>
      <c r="O12" s="20" t="n">
        <v>5.96</v>
      </c>
      <c r="P12" s="20" t="n">
        <v>47.2</v>
      </c>
    </row>
    <row r="13">
      <c r="A13" s="19" t="n">
        <v>12</v>
      </c>
      <c r="B13" s="21" t="inlineStr">
        <is>
          <t>1071020387</t>
        </is>
      </c>
      <c r="C13" s="17" t="inlineStr">
        <is>
          <t>บ้านท่ามะไฟ</t>
        </is>
      </c>
      <c r="D13" s="18" t="n">
        <v>90</v>
      </c>
      <c r="E13" s="17" t="inlineStr">
        <is>
          <t>จรเข้เผือก</t>
        </is>
      </c>
      <c r="F13" s="17" t="inlineStr">
        <is>
          <t>ด่านมะขามเตี้ย</t>
        </is>
      </c>
      <c r="G13" s="21" t="inlineStr">
        <is>
          <t>1071020372</t>
        </is>
      </c>
      <c r="H13" s="17" t="inlineStr">
        <is>
          <t>อนุบาลด่านมะขามเตี้ย</t>
        </is>
      </c>
      <c r="I13" s="18" t="n">
        <v>341</v>
      </c>
      <c r="J13" s="17" t="inlineStr">
        <is>
          <t>ด่านมะขามเตี้ย</t>
        </is>
      </c>
      <c r="K13" s="17" t="inlineStr">
        <is>
          <t>ด่านมะขามเตี้ย</t>
        </is>
      </c>
      <c r="L13" s="20" t="n">
        <v>6889.74</v>
      </c>
      <c r="M13" s="20" t="n">
        <v>6.89</v>
      </c>
      <c r="N13" s="20" t="n">
        <v>10.72</v>
      </c>
      <c r="O13" s="20" t="n">
        <v>6.97</v>
      </c>
      <c r="P13" s="20" t="n">
        <v>39</v>
      </c>
    </row>
    <row r="14">
      <c r="A14" s="19" t="n">
        <v>13</v>
      </c>
      <c r="B14" s="21" t="inlineStr">
        <is>
          <t>1071020106</t>
        </is>
      </c>
      <c r="C14" s="17" t="inlineStr">
        <is>
          <t>บ้านถ้ำ</t>
        </is>
      </c>
      <c r="D14" s="18" t="n">
        <v>44</v>
      </c>
      <c r="E14" s="17" t="inlineStr">
        <is>
          <t>เขาน้อย</t>
        </is>
      </c>
      <c r="F14" s="17" t="inlineStr">
        <is>
          <t>ท่าม่วง</t>
        </is>
      </c>
      <c r="G14" s="21" t="inlineStr">
        <is>
          <t>1071020099</t>
        </is>
      </c>
      <c r="H14" s="17" t="inlineStr">
        <is>
          <t>วัดศรีโลหะราษฎร์บํารุง</t>
        </is>
      </c>
      <c r="I14" s="18" t="n">
        <v>509</v>
      </c>
      <c r="J14" s="17" t="inlineStr">
        <is>
          <t>ท่าม่วง</t>
        </is>
      </c>
      <c r="K14" s="17" t="inlineStr">
        <is>
          <t>ท่าม่วง</t>
        </is>
      </c>
      <c r="L14" s="20" t="n">
        <v>6931.32</v>
      </c>
      <c r="M14" s="20" t="n">
        <v>6.93</v>
      </c>
      <c r="N14" s="20" t="n">
        <v>13.34</v>
      </c>
      <c r="O14" s="20" t="n">
        <v>6.93</v>
      </c>
      <c r="P14" s="20" t="n">
        <v>31.2</v>
      </c>
    </row>
    <row r="15">
      <c r="A15" s="19" t="n">
        <v>14</v>
      </c>
      <c r="B15" s="21" t="inlineStr">
        <is>
          <t>1071020096</t>
        </is>
      </c>
      <c r="C15" s="17" t="inlineStr">
        <is>
          <t>วัดศรีสุวรรณาราม</t>
        </is>
      </c>
      <c r="D15" s="18" t="n">
        <v>107</v>
      </c>
      <c r="E15" s="17" t="inlineStr">
        <is>
          <t>ทุ่งทอง</t>
        </is>
      </c>
      <c r="F15" s="17" t="inlineStr">
        <is>
          <t>ท่าม่วง</t>
        </is>
      </c>
      <c r="G15" s="21" t="inlineStr">
        <is>
          <t>1071020099</t>
        </is>
      </c>
      <c r="H15" s="17" t="inlineStr">
        <is>
          <t>วัดศรีโลหะราษฎร์บํารุง</t>
        </is>
      </c>
      <c r="I15" s="18" t="n">
        <v>509</v>
      </c>
      <c r="J15" s="17" t="inlineStr">
        <is>
          <t>ท่าม่วง</t>
        </is>
      </c>
      <c r="K15" s="17" t="inlineStr">
        <is>
          <t>ท่าม่วง</t>
        </is>
      </c>
      <c r="L15" s="20" t="n">
        <v>7347.11</v>
      </c>
      <c r="M15" s="20" t="n">
        <v>7.35</v>
      </c>
      <c r="N15" s="20" t="n">
        <v>11.66</v>
      </c>
      <c r="O15" s="20" t="n">
        <v>7.56</v>
      </c>
      <c r="P15" s="20" t="n">
        <v>38.9</v>
      </c>
    </row>
    <row r="16">
      <c r="A16" s="19" t="n">
        <v>15</v>
      </c>
      <c r="B16" s="21" t="inlineStr">
        <is>
          <t>1071020107</t>
        </is>
      </c>
      <c r="C16" s="17" t="inlineStr">
        <is>
          <t>บ้านดอนคราม</t>
        </is>
      </c>
      <c r="D16" s="18" t="n">
        <v>8</v>
      </c>
      <c r="E16" s="17" t="inlineStr">
        <is>
          <t>เขาน้อย</t>
        </is>
      </c>
      <c r="F16" s="17" t="inlineStr">
        <is>
          <t>ท่าม่วง</t>
        </is>
      </c>
      <c r="G16" s="21" t="inlineStr">
        <is>
          <t>1071020099</t>
        </is>
      </c>
      <c r="H16" s="17" t="inlineStr">
        <is>
          <t>วัดศรีโลหะราษฎร์บํารุง</t>
        </is>
      </c>
      <c r="I16" s="18" t="n">
        <v>509</v>
      </c>
      <c r="J16" s="17" t="inlineStr">
        <is>
          <t>ท่าม่วง</t>
        </is>
      </c>
      <c r="K16" s="17" t="inlineStr">
        <is>
          <t>ท่าม่วง</t>
        </is>
      </c>
      <c r="L16" s="20" t="n">
        <v>8261.58</v>
      </c>
      <c r="M16" s="20" t="n">
        <v>8.26</v>
      </c>
      <c r="N16" s="20" t="n">
        <v>16.05</v>
      </c>
      <c r="O16" s="20" t="n">
        <v>8.26</v>
      </c>
      <c r="P16" s="20" t="n">
        <v>30.9</v>
      </c>
    </row>
    <row r="17">
      <c r="A17" s="19" t="n">
        <v>16</v>
      </c>
      <c r="B17" s="21" t="inlineStr">
        <is>
          <t>1071020383</t>
        </is>
      </c>
      <c r="C17" s="17" t="inlineStr">
        <is>
          <t>บ้านหนองโสน</t>
        </is>
      </c>
      <c r="D17" s="18" t="n">
        <v>49</v>
      </c>
      <c r="E17" s="17" t="inlineStr">
        <is>
          <t>จรเข้เผือก</t>
        </is>
      </c>
      <c r="F17" s="17" t="inlineStr">
        <is>
          <t>ด่านมะขามเตี้ย</t>
        </is>
      </c>
      <c r="G17" s="21" t="inlineStr">
        <is>
          <t>1071020372</t>
        </is>
      </c>
      <c r="H17" s="17" t="inlineStr">
        <is>
          <t>อนุบาลด่านมะขามเตี้ย</t>
        </is>
      </c>
      <c r="I17" s="18" t="n">
        <v>341</v>
      </c>
      <c r="J17" s="17" t="inlineStr">
        <is>
          <t>ด่านมะขามเตี้ย</t>
        </is>
      </c>
      <c r="K17" s="17" t="inlineStr">
        <is>
          <t>ด่านมะขามเตี้ย</t>
        </is>
      </c>
      <c r="L17" s="20" t="n">
        <v>8331.16</v>
      </c>
      <c r="M17" s="20" t="n">
        <v>8.33</v>
      </c>
      <c r="N17" s="20" t="n">
        <v>12.7</v>
      </c>
      <c r="O17" s="20" t="n">
        <v>8.41</v>
      </c>
      <c r="P17" s="20" t="n">
        <v>39.7</v>
      </c>
    </row>
    <row r="18">
      <c r="A18" s="19" t="n">
        <v>17</v>
      </c>
      <c r="B18" s="21" t="inlineStr">
        <is>
          <t>1071020012</t>
        </is>
      </c>
      <c r="C18" s="17" t="inlineStr">
        <is>
          <t>บ้านหนองบัว</t>
        </is>
      </c>
      <c r="D18" s="18" t="n">
        <v>81</v>
      </c>
      <c r="E18" s="17" t="inlineStr">
        <is>
          <t>หนองบัว</t>
        </is>
      </c>
      <c r="F18" s="17" t="inlineStr">
        <is>
          <t>เมืองกาญจนบุรี</t>
        </is>
      </c>
      <c r="G18" s="21" t="inlineStr">
        <is>
          <t>1071020019</t>
        </is>
      </c>
      <c r="H18" s="17" t="inlineStr">
        <is>
          <t>วัดทุ่งลาดหญ้าลาดหญ้าวิทยา</t>
        </is>
      </c>
      <c r="I18" s="18" t="n">
        <v>901</v>
      </c>
      <c r="J18" s="17" t="inlineStr">
        <is>
          <t>ลาดหญ้า</t>
        </is>
      </c>
      <c r="K18" s="17" t="inlineStr">
        <is>
          <t>เมืองกาญจนบุรี</t>
        </is>
      </c>
      <c r="L18" s="20" t="n">
        <v>8465.68</v>
      </c>
      <c r="M18" s="20" t="n">
        <v>8.470000000000001</v>
      </c>
      <c r="N18" s="20" t="n">
        <v>13.57</v>
      </c>
      <c r="O18" s="20" t="n">
        <v>10.78</v>
      </c>
      <c r="P18" s="20" t="n">
        <v>47.7</v>
      </c>
    </row>
    <row r="19">
      <c r="A19" s="19" t="n">
        <v>18</v>
      </c>
      <c r="B19" s="21" t="inlineStr">
        <is>
          <t>1071020112</t>
        </is>
      </c>
      <c r="C19" s="17" t="inlineStr">
        <is>
          <t>บ้านสระเศรษฐี</t>
        </is>
      </c>
      <c r="D19" s="18" t="n">
        <v>97</v>
      </c>
      <c r="E19" s="17" t="inlineStr">
        <is>
          <t>บ้านใหม่</t>
        </is>
      </c>
      <c r="F19" s="17" t="inlineStr">
        <is>
          <t>ท่าม่วง</t>
        </is>
      </c>
      <c r="G19" s="21" t="inlineStr">
        <is>
          <t>1071020099</t>
        </is>
      </c>
      <c r="H19" s="17" t="inlineStr">
        <is>
          <t>วัดศรีโลหะราษฎร์บํารุง</t>
        </is>
      </c>
      <c r="I19" s="18" t="n">
        <v>509</v>
      </c>
      <c r="J19" s="17" t="inlineStr">
        <is>
          <t>ท่าม่วง</t>
        </is>
      </c>
      <c r="K19" s="17" t="inlineStr">
        <is>
          <t>ท่าม่วง</t>
        </is>
      </c>
      <c r="L19" s="20" t="n">
        <v>8466.77</v>
      </c>
      <c r="M19" s="20" t="n">
        <v>8.470000000000001</v>
      </c>
      <c r="N19" s="20" t="n">
        <v>11.5</v>
      </c>
      <c r="O19" s="20" t="n">
        <v>8.890000000000001</v>
      </c>
      <c r="P19" s="20" t="n">
        <v>46.4</v>
      </c>
    </row>
    <row r="20">
      <c r="A20" s="19" t="n">
        <v>19</v>
      </c>
      <c r="B20" s="21" t="inlineStr">
        <is>
          <t>1071020011</t>
        </is>
      </c>
      <c r="C20" s="17" t="inlineStr">
        <is>
          <t>ท่าพะเนียดกุญชร</t>
        </is>
      </c>
      <c r="D20" s="18" t="n">
        <v>87</v>
      </c>
      <c r="E20" s="17" t="inlineStr">
        <is>
          <t>แก่งเสี้ยน</t>
        </is>
      </c>
      <c r="F20" s="17" t="inlineStr">
        <is>
          <t>เมืองกาญจนบุรี</t>
        </is>
      </c>
      <c r="G20" s="21" t="inlineStr">
        <is>
          <t>1071020019</t>
        </is>
      </c>
      <c r="H20" s="17" t="inlineStr">
        <is>
          <t>วัดทุ่งลาดหญ้าลาดหญ้าวิทยา</t>
        </is>
      </c>
      <c r="I20" s="18" t="n">
        <v>901</v>
      </c>
      <c r="J20" s="17" t="inlineStr">
        <is>
          <t>ลาดหญ้า</t>
        </is>
      </c>
      <c r="K20" s="17" t="inlineStr">
        <is>
          <t>เมืองกาญจนบุรี</t>
        </is>
      </c>
      <c r="L20" s="20" t="n">
        <v>8768.33</v>
      </c>
      <c r="M20" s="20" t="n">
        <v>8.77</v>
      </c>
      <c r="N20" s="20" t="n">
        <v>10.93</v>
      </c>
      <c r="O20" s="20" t="n">
        <v>8.77</v>
      </c>
      <c r="P20" s="20" t="n">
        <v>48.1</v>
      </c>
    </row>
    <row r="21">
      <c r="A21" s="19" t="n">
        <v>20</v>
      </c>
      <c r="B21" s="21" t="inlineStr">
        <is>
          <t>1071020122</t>
        </is>
      </c>
      <c r="C21" s="17" t="inlineStr">
        <is>
          <t>วัดลําสำรอง</t>
        </is>
      </c>
      <c r="D21" s="18" t="n">
        <v>91</v>
      </c>
      <c r="E21" s="17" t="inlineStr">
        <is>
          <t>บ้านใหม่</t>
        </is>
      </c>
      <c r="F21" s="17" t="inlineStr">
        <is>
          <t>ท่าม่วง</t>
        </is>
      </c>
      <c r="G21" s="21" t="inlineStr">
        <is>
          <t>1071020099</t>
        </is>
      </c>
      <c r="H21" s="17" t="inlineStr">
        <is>
          <t>วัดศรีโลหะราษฎร์บํารุง</t>
        </is>
      </c>
      <c r="I21" s="18" t="n">
        <v>509</v>
      </c>
      <c r="J21" s="17" t="inlineStr">
        <is>
          <t>ท่าม่วง</t>
        </is>
      </c>
      <c r="K21" s="17" t="inlineStr">
        <is>
          <t>ท่าม่วง</t>
        </is>
      </c>
      <c r="L21" s="20" t="n">
        <v>9085.93</v>
      </c>
      <c r="M21" s="20" t="n">
        <v>9.09</v>
      </c>
      <c r="N21" s="20" t="n">
        <v>14.67</v>
      </c>
      <c r="O21" s="20" t="n">
        <v>9.51</v>
      </c>
      <c r="P21" s="20" t="n">
        <v>38.9</v>
      </c>
    </row>
    <row r="22">
      <c r="A22" s="19" t="n">
        <v>21</v>
      </c>
      <c r="B22" s="21" t="inlineStr">
        <is>
          <t>1071020021</t>
        </is>
      </c>
      <c r="C22" s="17" t="inlineStr">
        <is>
          <t>บ้านทุ่งนานางหรอก เพ็ญชาติอุปถัมภ์</t>
        </is>
      </c>
      <c r="D22" s="18" t="n">
        <v>89</v>
      </c>
      <c r="E22" s="17" t="inlineStr">
        <is>
          <t>ลาดหญ้า</t>
        </is>
      </c>
      <c r="F22" s="17" t="inlineStr">
        <is>
          <t>เมืองกาญจนบุรี</t>
        </is>
      </c>
      <c r="G22" s="21" t="inlineStr">
        <is>
          <t>1071020019</t>
        </is>
      </c>
      <c r="H22" s="17" t="inlineStr">
        <is>
          <t>วัดทุ่งลาดหญ้าลาดหญ้าวิทยา</t>
        </is>
      </c>
      <c r="I22" s="18" t="n">
        <v>901</v>
      </c>
      <c r="J22" s="17" t="inlineStr">
        <is>
          <t>ลาดหญ้า</t>
        </is>
      </c>
      <c r="K22" s="17" t="inlineStr">
        <is>
          <t>เมืองกาญจนบุรี</t>
        </is>
      </c>
      <c r="L22" s="20" t="n">
        <v>9351.389999999999</v>
      </c>
      <c r="M22" s="20" t="n">
        <v>9.35</v>
      </c>
      <c r="N22" s="20" t="n">
        <v>12.48</v>
      </c>
      <c r="O22" s="20" t="n">
        <v>9.35</v>
      </c>
      <c r="P22" s="20" t="n">
        <v>44.9</v>
      </c>
    </row>
    <row r="23">
      <c r="A23" s="19" t="n">
        <v>22</v>
      </c>
      <c r="B23" s="21" t="inlineStr">
        <is>
          <t>1071020352</t>
        </is>
      </c>
      <c r="C23" s="17" t="inlineStr">
        <is>
          <t>บ้านพุน้ำเปรี้ยว</t>
        </is>
      </c>
      <c r="D23" s="18" t="n">
        <v>48</v>
      </c>
      <c r="E23" s="17" t="inlineStr">
        <is>
          <t>ด่านแม่แฉลบ</t>
        </is>
      </c>
      <c r="F23" s="17" t="inlineStr">
        <is>
          <t>ศรีสวัสดิ์</t>
        </is>
      </c>
      <c r="G23" s="21" t="inlineStr">
        <is>
          <t>1071020350</t>
        </is>
      </c>
      <c r="H23" s="17" t="inlineStr">
        <is>
          <t>อนุบาลศรีสวัสดิ์</t>
        </is>
      </c>
      <c r="I23" s="18" t="n">
        <v>194</v>
      </c>
      <c r="J23" s="17" t="inlineStr">
        <is>
          <t>หนองเป็ด</t>
        </is>
      </c>
      <c r="K23" s="17" t="inlineStr">
        <is>
          <t>ศรีสวัสดิ์</t>
        </is>
      </c>
      <c r="L23" s="20" t="n">
        <v>9557.700000000001</v>
      </c>
      <c r="M23" s="20" t="n">
        <v>9.56</v>
      </c>
      <c r="N23" s="20" t="n">
        <v>13.25</v>
      </c>
      <c r="O23" s="20" t="n">
        <v>9.550000000000001</v>
      </c>
      <c r="P23" s="20" t="n">
        <v>43.3</v>
      </c>
    </row>
    <row r="24">
      <c r="A24" s="19" t="n">
        <v>23</v>
      </c>
      <c r="B24" s="21" t="inlineStr">
        <is>
          <t>1071020375</t>
        </is>
      </c>
      <c r="C24" s="17" t="inlineStr">
        <is>
          <t>บ้านหนองหิน</t>
        </is>
      </c>
      <c r="D24" s="18" t="n">
        <v>20</v>
      </c>
      <c r="E24" s="17" t="inlineStr">
        <is>
          <t>ด่านมะขามเตี้ย</t>
        </is>
      </c>
      <c r="F24" s="17" t="inlineStr">
        <is>
          <t>ด่านมะขามเตี้ย</t>
        </is>
      </c>
      <c r="G24" s="21" t="inlineStr">
        <is>
          <t>1071020372</t>
        </is>
      </c>
      <c r="H24" s="17" t="inlineStr">
        <is>
          <t>อนุบาลด่านมะขามเตี้ย</t>
        </is>
      </c>
      <c r="I24" s="18" t="n">
        <v>341</v>
      </c>
      <c r="J24" s="17" t="inlineStr">
        <is>
          <t>ด่านมะขามเตี้ย</t>
        </is>
      </c>
      <c r="K24" s="17" t="inlineStr">
        <is>
          <t>ด่านมะขามเตี้ย</t>
        </is>
      </c>
      <c r="L24" s="20" t="n">
        <v>9927.280000000001</v>
      </c>
      <c r="M24" s="20" t="n">
        <v>9.93</v>
      </c>
      <c r="N24" s="20" t="n">
        <v>15.29</v>
      </c>
      <c r="O24" s="20" t="n">
        <v>9.92</v>
      </c>
      <c r="P24" s="20" t="n">
        <v>38.9</v>
      </c>
    </row>
  </sheetData>
  <autoFilter ref="A1:P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808080"/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11" customWidth="1" min="4" max="4"/>
    <col width="15" customWidth="1" min="5" max="5"/>
    <col width="16" customWidth="1" min="6" max="6"/>
    <col width="28" customWidth="1" min="7" max="7"/>
    <col width="15" customWidth="1" min="8" max="8"/>
    <col width="27" customWidth="1" min="9" max="9"/>
    <col width="15" customWidth="1" min="10" max="10"/>
    <col width="17" customWidth="1" min="11" max="11"/>
    <col width="13" customWidth="1" min="12" max="12"/>
    <col width="18" customWidth="1" min="13" max="13"/>
    <col width="16" customWidth="1" min="14" max="14"/>
    <col width="31" customWidth="1" min="15" max="15"/>
  </cols>
  <sheetData>
    <row r="1">
      <c r="A1" s="16" t="inlineStr">
        <is>
          <t>ลำดับ</t>
        </is>
      </c>
      <c r="B1" s="16" t="inlineStr">
        <is>
          <t>รหัส รร.เล็ก</t>
        </is>
      </c>
      <c r="C1" s="16" t="inlineStr">
        <is>
          <t>ชื่อ รร.เล็ก</t>
        </is>
      </c>
      <c r="D1" s="16" t="inlineStr">
        <is>
          <t>จำนวน นร.</t>
        </is>
      </c>
      <c r="E1" s="16" t="inlineStr">
        <is>
          <t>ตำบล</t>
        </is>
      </c>
      <c r="F1" s="16" t="inlineStr">
        <is>
          <t>อำเภอ</t>
        </is>
      </c>
      <c r="G1" s="16" t="inlineStr">
        <is>
          <t>สถานะ</t>
        </is>
      </c>
      <c r="H1" s="16" t="inlineStr">
        <is>
          <t>รหัส รร.แม่เหล็ก (ใกล้สุด)</t>
        </is>
      </c>
      <c r="I1" s="16" t="inlineStr">
        <is>
          <t>ชื่อ รร.แม่เหล็ก (ใกล้สุด)</t>
        </is>
      </c>
      <c r="J1" s="16" t="inlineStr">
        <is>
          <t>อำเภอ (แม่เหล็ก)</t>
        </is>
      </c>
      <c r="K1" s="16" t="inlineStr">
        <is>
          <t>ระยะทางตามถนน (กม.)</t>
        </is>
      </c>
      <c r="L1" s="16" t="inlineStr">
        <is>
          <t>เวลา (นาที)</t>
        </is>
      </c>
      <c r="M1" s="16" t="inlineStr">
        <is>
          <t>เกินเกณฑ์ถนน (กม.)</t>
        </is>
      </c>
      <c r="N1" s="16" t="inlineStr">
        <is>
          <t>ระยะเส้นตรง (กม.)</t>
        </is>
      </c>
      <c r="O1" s="16" t="inlineStr">
        <is>
          <t>ฐานข้อมูล</t>
        </is>
      </c>
    </row>
    <row r="2">
      <c r="A2" s="19" t="n">
        <v>1</v>
      </c>
      <c r="B2" s="21" t="inlineStr">
        <is>
          <t>1071020392</t>
        </is>
      </c>
      <c r="C2" s="17" t="inlineStr">
        <is>
          <t>บ้านแหลมทอง</t>
        </is>
      </c>
      <c r="D2" s="18" t="n">
        <v>47</v>
      </c>
      <c r="E2" s="17" t="inlineStr">
        <is>
          <t>กลอนโด</t>
        </is>
      </c>
      <c r="F2" s="17" t="inlineStr">
        <is>
          <t>ด่านมะขามเตี้ย</t>
        </is>
      </c>
      <c r="G2" s="17" t="inlineStr">
        <is>
          <t>อยู่นอกเกณฑ์—มีผลเส้นทาง</t>
        </is>
      </c>
      <c r="H2" s="21" t="inlineStr">
        <is>
          <t>1071020372</t>
        </is>
      </c>
      <c r="I2" s="17" t="inlineStr">
        <is>
          <t>อนุบาลด่านมะขามเตี้ย</t>
        </is>
      </c>
      <c r="J2" s="17" t="inlineStr">
        <is>
          <t>ด่านมะขามเตี้ย</t>
        </is>
      </c>
      <c r="K2" s="20" t="n">
        <v>10.19</v>
      </c>
      <c r="L2" s="20" t="n">
        <v>14.86</v>
      </c>
      <c r="M2" s="20" t="n">
        <v>0.19</v>
      </c>
      <c r="N2" s="20" t="n">
        <v>8.59</v>
      </c>
      <c r="O2" s="17" t="inlineStr">
        <is>
          <t>ผลวิเคราะห์โครงข่ายถนน</t>
        </is>
      </c>
    </row>
    <row r="3">
      <c r="A3" s="19" t="n">
        <v>2</v>
      </c>
      <c r="B3" s="21" t="inlineStr">
        <is>
          <t>1071020026</t>
        </is>
      </c>
      <c r="C3" s="17" t="inlineStr">
        <is>
          <t>บ้านหนองสามพราน</t>
        </is>
      </c>
      <c r="D3" s="18" t="n">
        <v>90</v>
      </c>
      <c r="E3" s="17" t="inlineStr">
        <is>
          <t>วังด้ง</t>
        </is>
      </c>
      <c r="F3" s="17" t="inlineStr">
        <is>
          <t>เมืองกาญจนบุรี</t>
        </is>
      </c>
      <c r="G3" s="17" t="inlineStr">
        <is>
          <t>อยู่นอกเกณฑ์—มีผลเส้นทาง</t>
        </is>
      </c>
      <c r="H3" s="21" t="inlineStr">
        <is>
          <t>1071020019</t>
        </is>
      </c>
      <c r="I3" s="17" t="inlineStr">
        <is>
          <t>วัดทุ่งลาดหญ้าลาดหญ้าวิทยา</t>
        </is>
      </c>
      <c r="J3" s="17" t="inlineStr">
        <is>
          <t>เมืองกาญจนบุรี</t>
        </is>
      </c>
      <c r="K3" s="20" t="n">
        <v>10.42</v>
      </c>
      <c r="L3" s="20" t="n">
        <v>13.68</v>
      </c>
      <c r="M3" s="20" t="n">
        <v>0.42</v>
      </c>
      <c r="N3" s="20" t="n">
        <v>8.51</v>
      </c>
      <c r="O3" s="17" t="inlineStr">
        <is>
          <t>ผลวิเคราะห์โครงข่ายถนน</t>
        </is>
      </c>
    </row>
    <row r="4">
      <c r="A4" s="19" t="n">
        <v>3</v>
      </c>
      <c r="B4" s="21" t="inlineStr">
        <is>
          <t>1071020098</t>
        </is>
      </c>
      <c r="C4" s="17" t="inlineStr">
        <is>
          <t>วัดท่าล้อ</t>
        </is>
      </c>
      <c r="D4" s="18" t="n">
        <v>101</v>
      </c>
      <c r="E4" s="17" t="inlineStr">
        <is>
          <t>ท่าล้อ</t>
        </is>
      </c>
      <c r="F4" s="17" t="inlineStr">
        <is>
          <t>ท่าม่วง</t>
        </is>
      </c>
      <c r="G4" s="17" t="inlineStr">
        <is>
          <t>อยู่นอกเกณฑ์—มีผลเส้นทาง</t>
        </is>
      </c>
      <c r="H4" s="21" t="inlineStr">
        <is>
          <t>1071020099</t>
        </is>
      </c>
      <c r="I4" s="17" t="inlineStr">
        <is>
          <t>วัดศรีโลหะราษฎร์บํารุง</t>
        </is>
      </c>
      <c r="J4" s="17" t="inlineStr">
        <is>
          <t>ท่าม่วง</t>
        </is>
      </c>
      <c r="K4" s="20" t="n">
        <v>10.62</v>
      </c>
      <c r="L4" s="20" t="n">
        <v>13.06</v>
      </c>
      <c r="M4" s="20" t="n">
        <v>0.62</v>
      </c>
      <c r="N4" s="20" t="n">
        <v>8.15</v>
      </c>
      <c r="O4" s="17" t="inlineStr">
        <is>
          <t>ผลวิเคราะห์โครงข่ายถนน</t>
        </is>
      </c>
    </row>
    <row r="5">
      <c r="A5" s="19" t="n">
        <v>4</v>
      </c>
      <c r="B5" s="21" t="inlineStr">
        <is>
          <t>1071020016</t>
        </is>
      </c>
      <c r="C5" s="17" t="inlineStr">
        <is>
          <t>บ้านพุประดู่</t>
        </is>
      </c>
      <c r="D5" s="18" t="n">
        <v>57</v>
      </c>
      <c r="E5" s="17" t="inlineStr">
        <is>
          <t>หนองบัว</t>
        </is>
      </c>
      <c r="F5" s="17" t="inlineStr">
        <is>
          <t>เมืองกาญจนบุรี</t>
        </is>
      </c>
      <c r="G5" s="17" t="inlineStr">
        <is>
          <t>อยู่นอกเกณฑ์—มีผลเส้นทาง</t>
        </is>
      </c>
      <c r="H5" s="21" t="inlineStr">
        <is>
          <t>1071020019</t>
        </is>
      </c>
      <c r="I5" s="17" t="inlineStr">
        <is>
          <t>วัดทุ่งลาดหญ้าลาดหญ้าวิทยา</t>
        </is>
      </c>
      <c r="J5" s="17" t="inlineStr">
        <is>
          <t>เมืองกาญจนบุรี</t>
        </is>
      </c>
      <c r="K5" s="20" t="n">
        <v>11.09</v>
      </c>
      <c r="L5" s="20" t="n">
        <v>14.86</v>
      </c>
      <c r="M5" s="20" t="n">
        <v>1.09</v>
      </c>
      <c r="N5" s="20" t="n">
        <v>8.220000000000001</v>
      </c>
      <c r="O5" s="17" t="inlineStr">
        <is>
          <t>ผลวิเคราะห์โครงข่ายถนน</t>
        </is>
      </c>
    </row>
    <row r="6">
      <c r="A6" s="19" t="n">
        <v>5</v>
      </c>
      <c r="B6" s="21" t="inlineStr">
        <is>
          <t>1071020123</t>
        </is>
      </c>
      <c r="C6" s="17" t="inlineStr">
        <is>
          <t>บ้านรางสะเดา</t>
        </is>
      </c>
      <c r="D6" s="18" t="n">
        <v>14</v>
      </c>
      <c r="E6" s="17" t="inlineStr">
        <is>
          <t>พังตรุ</t>
        </is>
      </c>
      <c r="F6" s="17" t="inlineStr">
        <is>
          <t>ท่าม่วง</t>
        </is>
      </c>
      <c r="G6" s="17" t="inlineStr">
        <is>
          <t>อยู่นอกเกณฑ์—มีผลเส้นทาง</t>
        </is>
      </c>
      <c r="H6" s="21" t="inlineStr">
        <is>
          <t>1071020099</t>
        </is>
      </c>
      <c r="I6" s="17" t="inlineStr">
        <is>
          <t>วัดศรีโลหะราษฎร์บํารุง</t>
        </is>
      </c>
      <c r="J6" s="17" t="inlineStr">
        <is>
          <t>ท่าม่วง</t>
        </is>
      </c>
      <c r="K6" s="20" t="n">
        <v>11.24</v>
      </c>
      <c r="L6" s="20" t="n">
        <v>17.51</v>
      </c>
      <c r="M6" s="20" t="n">
        <v>1.24</v>
      </c>
      <c r="N6" s="20" t="n">
        <v>7.74</v>
      </c>
      <c r="O6" s="17" t="inlineStr">
        <is>
          <t>ผลวิเคราะห์โครงข่ายถนน</t>
        </is>
      </c>
    </row>
    <row r="7">
      <c r="A7" s="19" t="n">
        <v>6</v>
      </c>
      <c r="B7" s="21" t="inlineStr">
        <is>
          <t>1071020353</t>
        </is>
      </c>
      <c r="C7" s="17" t="inlineStr">
        <is>
          <t>บ้านท่าสนุ่น</t>
        </is>
      </c>
      <c r="D7" s="18" t="n">
        <v>60</v>
      </c>
      <c r="E7" s="17" t="inlineStr">
        <is>
          <t>ด่านแม่แฉลบ</t>
        </is>
      </c>
      <c r="F7" s="17" t="inlineStr">
        <is>
          <t>ศรีสวัสดิ์</t>
        </is>
      </c>
      <c r="G7" s="17" t="inlineStr">
        <is>
          <t>อยู่นอกเกณฑ์—มีผลเส้นทาง</t>
        </is>
      </c>
      <c r="H7" s="21" t="inlineStr">
        <is>
          <t>1071020350</t>
        </is>
      </c>
      <c r="I7" s="17" t="inlineStr">
        <is>
          <t>อนุบาลศรีสวัสดิ์</t>
        </is>
      </c>
      <c r="J7" s="17" t="inlineStr">
        <is>
          <t>ศรีสวัสดิ์</t>
        </is>
      </c>
      <c r="K7" s="20" t="n">
        <v>11.4</v>
      </c>
      <c r="L7" s="20" t="n">
        <v>13.97</v>
      </c>
      <c r="M7" s="20" t="n">
        <v>1.4</v>
      </c>
      <c r="N7" s="20" t="n">
        <v>8.94</v>
      </c>
      <c r="O7" s="17" t="inlineStr">
        <is>
          <t>ผลวิเคราะห์โครงข่ายถนน</t>
        </is>
      </c>
    </row>
    <row r="8">
      <c r="A8" s="19" t="n">
        <v>7</v>
      </c>
      <c r="B8" s="21" t="inlineStr">
        <is>
          <t>1071020025</t>
        </is>
      </c>
      <c r="C8" s="17" t="inlineStr">
        <is>
          <t>บ้านหนองแก(สามัคคีวิทยา)</t>
        </is>
      </c>
      <c r="D8" s="18" t="n">
        <v>116</v>
      </c>
      <c r="E8" s="17" t="inlineStr">
        <is>
          <t>ลาดหญ้า</t>
        </is>
      </c>
      <c r="F8" s="17" t="inlineStr">
        <is>
          <t>เมืองกาญจนบุรี</t>
        </is>
      </c>
      <c r="G8" s="17" t="inlineStr">
        <is>
          <t>อยู่นอกเกณฑ์—มีผลเส้นทาง</t>
        </is>
      </c>
      <c r="H8" s="21" t="inlineStr">
        <is>
          <t>1071020019</t>
        </is>
      </c>
      <c r="I8" s="17" t="inlineStr">
        <is>
          <t>วัดทุ่งลาดหญ้าลาดหญ้าวิทยา</t>
        </is>
      </c>
      <c r="J8" s="17" t="inlineStr">
        <is>
          <t>เมืองกาญจนบุรี</t>
        </is>
      </c>
      <c r="K8" s="20" t="n">
        <v>11.7</v>
      </c>
      <c r="L8" s="20" t="n">
        <v>14.67</v>
      </c>
      <c r="M8" s="20" t="n">
        <v>1.7</v>
      </c>
      <c r="N8" s="20" t="n">
        <v>10.25</v>
      </c>
      <c r="O8" s="17" t="inlineStr">
        <is>
          <t>ผลวิเคราะห์โครงข่ายถนน</t>
        </is>
      </c>
    </row>
    <row r="9">
      <c r="A9" s="19" t="n">
        <v>8</v>
      </c>
      <c r="B9" s="21" t="inlineStr">
        <is>
          <t>1071020380</t>
        </is>
      </c>
      <c r="C9" s="17" t="inlineStr">
        <is>
          <t>บ้านหนองปากดง</t>
        </is>
      </c>
      <c r="D9" s="18" t="n">
        <v>85</v>
      </c>
      <c r="E9" s="17" t="inlineStr">
        <is>
          <t>หนองไผ่</t>
        </is>
      </c>
      <c r="F9" s="17" t="inlineStr">
        <is>
          <t>ด่านมะขามเตี้ย</t>
        </is>
      </c>
      <c r="G9" s="17" t="inlineStr">
        <is>
          <t>อยู่นอกเกณฑ์—มีผลเส้นทาง</t>
        </is>
      </c>
      <c r="H9" s="21" t="inlineStr">
        <is>
          <t>1071020372</t>
        </is>
      </c>
      <c r="I9" s="17" t="inlineStr">
        <is>
          <t>อนุบาลด่านมะขามเตี้ย</t>
        </is>
      </c>
      <c r="J9" s="17" t="inlineStr">
        <is>
          <t>ด่านมะขามเตี้ย</t>
        </is>
      </c>
      <c r="K9" s="20" t="n">
        <v>11.81</v>
      </c>
      <c r="L9" s="20" t="n">
        <v>18.2</v>
      </c>
      <c r="M9" s="20" t="n">
        <v>1.81</v>
      </c>
      <c r="N9" s="20" t="n">
        <v>10.8</v>
      </c>
      <c r="O9" s="17" t="inlineStr">
        <is>
          <t>ผลวิเคราะห์โครงข่ายถนน</t>
        </is>
      </c>
    </row>
    <row r="10">
      <c r="A10" s="19" t="n">
        <v>9</v>
      </c>
      <c r="B10" s="21" t="inlineStr">
        <is>
          <t>1071020389</t>
        </is>
      </c>
      <c r="C10" s="17" t="inlineStr">
        <is>
          <t>บ้านกลอนโด</t>
        </is>
      </c>
      <c r="D10" s="18" t="n">
        <v>95</v>
      </c>
      <c r="E10" s="17" t="inlineStr">
        <is>
          <t>กลอนโด</t>
        </is>
      </c>
      <c r="F10" s="17" t="inlineStr">
        <is>
          <t>ด่านมะขามเตี้ย</t>
        </is>
      </c>
      <c r="G10" s="17" t="inlineStr">
        <is>
          <t>อยู่นอกเกณฑ์—มีผลเส้นทาง</t>
        </is>
      </c>
      <c r="H10" s="21" t="inlineStr">
        <is>
          <t>1071020372</t>
        </is>
      </c>
      <c r="I10" s="17" t="inlineStr">
        <is>
          <t>อนุบาลด่านมะขามเตี้ย</t>
        </is>
      </c>
      <c r="J10" s="17" t="inlineStr">
        <is>
          <t>ด่านมะขามเตี้ย</t>
        </is>
      </c>
      <c r="K10" s="20" t="n">
        <v>12.03</v>
      </c>
      <c r="L10" s="20" t="n">
        <v>20.93</v>
      </c>
      <c r="M10" s="20" t="n">
        <v>2.03</v>
      </c>
      <c r="N10" s="20" t="n">
        <v>8.789999999999999</v>
      </c>
      <c r="O10" s="17" t="inlineStr">
        <is>
          <t>ผลวิเคราะห์โครงข่ายถนน</t>
        </is>
      </c>
    </row>
    <row r="11">
      <c r="A11" s="19" t="n">
        <v>10</v>
      </c>
      <c r="B11" s="21" t="inlineStr">
        <is>
          <t>1071020384</t>
        </is>
      </c>
      <c r="C11" s="17" t="inlineStr">
        <is>
          <t>บ้านเนินไพร</t>
        </is>
      </c>
      <c r="D11" s="18" t="n">
        <v>67</v>
      </c>
      <c r="E11" s="17" t="inlineStr">
        <is>
          <t>ด่านมะขามเตี้ย</t>
        </is>
      </c>
      <c r="F11" s="17" t="inlineStr">
        <is>
          <t>ด่านมะขามเตี้ย</t>
        </is>
      </c>
      <c r="G11" s="17" t="inlineStr">
        <is>
          <t>อยู่นอกเกณฑ์—มีผลเส้นทาง</t>
        </is>
      </c>
      <c r="H11" s="21" t="inlineStr">
        <is>
          <t>1071020372</t>
        </is>
      </c>
      <c r="I11" s="17" t="inlineStr">
        <is>
          <t>อนุบาลด่านมะขามเตี้ย</t>
        </is>
      </c>
      <c r="J11" s="17" t="inlineStr">
        <is>
          <t>ด่านมะขามเตี้ย</t>
        </is>
      </c>
      <c r="K11" s="20" t="n">
        <v>12.2</v>
      </c>
      <c r="L11" s="20" t="n">
        <v>18.66</v>
      </c>
      <c r="M11" s="20" t="n">
        <v>2.2</v>
      </c>
      <c r="N11" s="20" t="n">
        <v>11.11</v>
      </c>
      <c r="O11" s="17" t="inlineStr">
        <is>
          <t>ผลวิเคราะห์โครงข่ายถนน</t>
        </is>
      </c>
    </row>
    <row r="12">
      <c r="A12" s="19" t="n">
        <v>11</v>
      </c>
      <c r="B12" s="21" t="inlineStr">
        <is>
          <t>1071020376</t>
        </is>
      </c>
      <c r="C12" s="17" t="inlineStr">
        <is>
          <t>บ้านหนองปล้อง</t>
        </is>
      </c>
      <c r="D12" s="18" t="n">
        <v>83</v>
      </c>
      <c r="E12" s="17" t="inlineStr">
        <is>
          <t>ด่านมะขามเตี้ย</t>
        </is>
      </c>
      <c r="F12" s="17" t="inlineStr">
        <is>
          <t>ด่านมะขามเตี้ย</t>
        </is>
      </c>
      <c r="G12" s="17" t="inlineStr">
        <is>
          <t>อยู่นอกเกณฑ์—มีผลเส้นทาง</t>
        </is>
      </c>
      <c r="H12" s="21" t="inlineStr">
        <is>
          <t>1071020372</t>
        </is>
      </c>
      <c r="I12" s="17" t="inlineStr">
        <is>
          <t>อนุบาลด่านมะขามเตี้ย</t>
        </is>
      </c>
      <c r="J12" s="17" t="inlineStr">
        <is>
          <t>ด่านมะขามเตี้ย</t>
        </is>
      </c>
      <c r="K12" s="20" t="n">
        <v>13.1</v>
      </c>
      <c r="L12" s="20" t="n">
        <v>20.39</v>
      </c>
      <c r="M12" s="20" t="n">
        <v>3.1</v>
      </c>
      <c r="N12" s="20" t="n">
        <v>11.69</v>
      </c>
      <c r="O12" s="17" t="inlineStr">
        <is>
          <t>ผลวิเคราะห์โครงข่ายถนน</t>
        </is>
      </c>
    </row>
    <row r="13">
      <c r="A13" s="19" t="n">
        <v>12</v>
      </c>
      <c r="B13" s="21" t="inlineStr">
        <is>
          <t>1071020397</t>
        </is>
      </c>
      <c r="C13" s="17" t="inlineStr">
        <is>
          <t>วัดถ้ำอ่างหิน</t>
        </is>
      </c>
      <c r="D13" s="18" t="n">
        <v>15</v>
      </c>
      <c r="E13" s="17" t="inlineStr">
        <is>
          <t>จรเข้เผือก</t>
        </is>
      </c>
      <c r="F13" s="17" t="inlineStr">
        <is>
          <t>ด่านมะขามเตี้ย</t>
        </is>
      </c>
      <c r="G13" s="17" t="inlineStr">
        <is>
          <t>อยู่นอกเกณฑ์—มีผลเส้นทาง</t>
        </is>
      </c>
      <c r="H13" s="21" t="inlineStr">
        <is>
          <t>1071020372</t>
        </is>
      </c>
      <c r="I13" s="17" t="inlineStr">
        <is>
          <t>อนุบาลด่านมะขามเตี้ย</t>
        </is>
      </c>
      <c r="J13" s="17" t="inlineStr">
        <is>
          <t>ด่านมะขามเตี้ย</t>
        </is>
      </c>
      <c r="K13" s="20" t="n">
        <v>13.45</v>
      </c>
      <c r="L13" s="20" t="n">
        <v>22.13</v>
      </c>
      <c r="M13" s="20" t="n">
        <v>3.45</v>
      </c>
      <c r="N13" s="20" t="n">
        <v>11.68</v>
      </c>
      <c r="O13" s="17" t="inlineStr">
        <is>
          <t>ผลวิเคราะห์โครงข่ายถนน</t>
        </is>
      </c>
    </row>
    <row r="14">
      <c r="A14" s="19" t="n">
        <v>13</v>
      </c>
      <c r="B14" s="21" t="inlineStr">
        <is>
          <t>1071020134</t>
        </is>
      </c>
      <c r="C14" s="17" t="inlineStr">
        <is>
          <t>วัดสระกลอยสามัคคีธรรม</t>
        </is>
      </c>
      <c r="D14" s="18" t="n">
        <v>57</v>
      </c>
      <c r="E14" s="17" t="inlineStr">
        <is>
          <t>รางสาลี่</t>
        </is>
      </c>
      <c r="F14" s="17" t="inlineStr">
        <is>
          <t>ท่าม่วง</t>
        </is>
      </c>
      <c r="G14" s="17" t="inlineStr">
        <is>
          <t>อยู่นอกเกณฑ์—มีผลเส้นทาง</t>
        </is>
      </c>
      <c r="H14" s="21" t="inlineStr">
        <is>
          <t>1071020372</t>
        </is>
      </c>
      <c r="I14" s="17" t="inlineStr">
        <is>
          <t>อนุบาลด่านมะขามเตี้ย</t>
        </is>
      </c>
      <c r="J14" s="17" t="inlineStr">
        <is>
          <t>ด่านมะขามเตี้ย</t>
        </is>
      </c>
      <c r="K14" s="20" t="n">
        <v>13.86</v>
      </c>
      <c r="L14" s="20" t="n">
        <v>22.35</v>
      </c>
      <c r="M14" s="20" t="n">
        <v>3.86</v>
      </c>
      <c r="N14" s="20" t="n">
        <v>10.72</v>
      </c>
      <c r="O14" s="17" t="inlineStr">
        <is>
          <t>ผลวิเคราะห์โครงข่ายถนน</t>
        </is>
      </c>
    </row>
    <row r="15">
      <c r="A15" s="19" t="n">
        <v>14</v>
      </c>
      <c r="B15" s="21" t="inlineStr">
        <is>
          <t>1071020050</t>
        </is>
      </c>
      <c r="C15" s="17" t="inlineStr">
        <is>
          <t>วัดพุน้อย</t>
        </is>
      </c>
      <c r="D15" s="18" t="n">
        <v>61</v>
      </c>
      <c r="E15" s="17" t="inlineStr">
        <is>
          <t>บ้านเก่า</t>
        </is>
      </c>
      <c r="F15" s="17" t="inlineStr">
        <is>
          <t>เมืองกาญจนบุรี</t>
        </is>
      </c>
      <c r="G15" s="17" t="inlineStr">
        <is>
          <t>อยู่นอกเกณฑ์—มีผลเส้นทาง</t>
        </is>
      </c>
      <c r="H15" s="21" t="inlineStr">
        <is>
          <t>1071020019</t>
        </is>
      </c>
      <c r="I15" s="17" t="inlineStr">
        <is>
          <t>วัดทุ่งลาดหญ้าลาดหญ้าวิทยา</t>
        </is>
      </c>
      <c r="J15" s="17" t="inlineStr">
        <is>
          <t>เมืองกาญจนบุรี</t>
        </is>
      </c>
      <c r="K15" s="20" t="n">
        <v>14.05</v>
      </c>
      <c r="L15" s="20" t="n">
        <v>17.4</v>
      </c>
      <c r="M15" s="20" t="n">
        <v>4.05</v>
      </c>
      <c r="N15" s="20" t="n">
        <v>12.67</v>
      </c>
      <c r="O15" s="17" t="inlineStr">
        <is>
          <t>ผลวิเคราะห์โครงข่ายถนน</t>
        </is>
      </c>
    </row>
    <row r="16">
      <c r="A16" s="19" t="n">
        <v>15</v>
      </c>
      <c r="B16" s="21" t="inlineStr">
        <is>
          <t>1071020396</t>
        </is>
      </c>
      <c r="C16" s="17" t="inlineStr">
        <is>
          <t>บ้านท่าเสด็จ</t>
        </is>
      </c>
      <c r="D16" s="18" t="n">
        <v>36</v>
      </c>
      <c r="E16" s="17" t="inlineStr">
        <is>
          <t>จรเข้เผือก</t>
        </is>
      </c>
      <c r="F16" s="17" t="inlineStr">
        <is>
          <t>ด่านมะขามเตี้ย</t>
        </is>
      </c>
      <c r="G16" s="17" t="inlineStr">
        <is>
          <t>อยู่นอกเกณฑ์—มีผลเส้นทาง</t>
        </is>
      </c>
      <c r="H16" s="21" t="inlineStr">
        <is>
          <t>1071020372</t>
        </is>
      </c>
      <c r="I16" s="17" t="inlineStr">
        <is>
          <t>อนุบาลด่านมะขามเตี้ย</t>
        </is>
      </c>
      <c r="J16" s="17" t="inlineStr">
        <is>
          <t>ด่านมะขามเตี้ย</t>
        </is>
      </c>
      <c r="K16" s="20" t="n">
        <v>14.31</v>
      </c>
      <c r="L16" s="20" t="n">
        <v>25.56</v>
      </c>
      <c r="M16" s="20" t="n">
        <v>4.31</v>
      </c>
      <c r="N16" s="20" t="n">
        <v>9.65</v>
      </c>
      <c r="O16" s="17" t="inlineStr">
        <is>
          <t>ผลวิเคราะห์โครงข่ายถนน</t>
        </is>
      </c>
    </row>
    <row r="17">
      <c r="A17" s="19" t="n">
        <v>16</v>
      </c>
      <c r="B17" s="21" t="inlineStr">
        <is>
          <t>1071020400</t>
        </is>
      </c>
      <c r="C17" s="17" t="inlineStr">
        <is>
          <t>บ้านทุ่งยาว</t>
        </is>
      </c>
      <c r="D17" s="18" t="n">
        <v>46</v>
      </c>
      <c r="E17" s="17" t="inlineStr">
        <is>
          <t>จรเข้เผือก</t>
        </is>
      </c>
      <c r="F17" s="17" t="inlineStr">
        <is>
          <t>ด่านมะขามเตี้ย</t>
        </is>
      </c>
      <c r="G17" s="17" t="inlineStr">
        <is>
          <t>อยู่นอกเกณฑ์—มีผลเส้นทาง</t>
        </is>
      </c>
      <c r="H17" s="21" t="inlineStr">
        <is>
          <t>1071020372</t>
        </is>
      </c>
      <c r="I17" s="17" t="inlineStr">
        <is>
          <t>อนุบาลด่านมะขามเตี้ย</t>
        </is>
      </c>
      <c r="J17" s="17" t="inlineStr">
        <is>
          <t>ด่านมะขามเตี้ย</t>
        </is>
      </c>
      <c r="K17" s="20" t="n">
        <v>14.47</v>
      </c>
      <c r="L17" s="20" t="n">
        <v>22.19</v>
      </c>
      <c r="M17" s="20" t="n">
        <v>4.47</v>
      </c>
      <c r="N17" s="20" t="n">
        <v>13.41</v>
      </c>
      <c r="O17" s="17" t="inlineStr">
        <is>
          <t>ผลวิเคราะห์โครงข่ายถนน</t>
        </is>
      </c>
    </row>
    <row r="18">
      <c r="A18" s="19" t="n">
        <v>17</v>
      </c>
      <c r="B18" s="21" t="inlineStr">
        <is>
          <t>1071020040</t>
        </is>
      </c>
      <c r="C18" s="17" t="inlineStr">
        <is>
          <t>บ้านวังปลาหมู</t>
        </is>
      </c>
      <c r="D18" s="18" t="n">
        <v>36</v>
      </c>
      <c r="E18" s="17" t="inlineStr">
        <is>
          <t>หนองหญ้า</t>
        </is>
      </c>
      <c r="F18" s="17" t="inlineStr">
        <is>
          <t>เมืองกาญจนบุรี</t>
        </is>
      </c>
      <c r="G18" s="17" t="inlineStr">
        <is>
          <t>อยู่นอกเกณฑ์—มีผลเส้นทาง</t>
        </is>
      </c>
      <c r="H18" s="21" t="inlineStr">
        <is>
          <t>1071020372</t>
        </is>
      </c>
      <c r="I18" s="17" t="inlineStr">
        <is>
          <t>อนุบาลด่านมะขามเตี้ย</t>
        </is>
      </c>
      <c r="J18" s="17" t="inlineStr">
        <is>
          <t>ด่านมะขามเตี้ย</t>
        </is>
      </c>
      <c r="K18" s="20" t="n">
        <v>14.99</v>
      </c>
      <c r="L18" s="20" t="n">
        <v>19.33</v>
      </c>
      <c r="M18" s="20" t="n">
        <v>4.99</v>
      </c>
      <c r="N18" s="20" t="n">
        <v>10.24</v>
      </c>
      <c r="O18" s="17" t="inlineStr">
        <is>
          <t>ผลวิเคราะห์โครงข่ายถนน</t>
        </is>
      </c>
    </row>
    <row r="19">
      <c r="A19" s="19" t="n">
        <v>18</v>
      </c>
      <c r="B19" s="21" t="inlineStr">
        <is>
          <t>1071020135</t>
        </is>
      </c>
      <c r="C19" s="17" t="inlineStr">
        <is>
          <t>บ้านโกรกตารอด</t>
        </is>
      </c>
      <c r="D19" s="18" t="n">
        <v>52</v>
      </c>
      <c r="E19" s="17" t="inlineStr">
        <is>
          <t>หนองตากยา</t>
        </is>
      </c>
      <c r="F19" s="17" t="inlineStr">
        <is>
          <t>ท่าม่วง</t>
        </is>
      </c>
      <c r="G19" s="17" t="inlineStr">
        <is>
          <t>อยู่นอกเกณฑ์—มีผลเส้นทาง</t>
        </is>
      </c>
      <c r="H19" s="21" t="inlineStr">
        <is>
          <t>1071020372</t>
        </is>
      </c>
      <c r="I19" s="17" t="inlineStr">
        <is>
          <t>อนุบาลด่านมะขามเตี้ย</t>
        </is>
      </c>
      <c r="J19" s="17" t="inlineStr">
        <is>
          <t>ด่านมะขามเตี้ย</t>
        </is>
      </c>
      <c r="K19" s="20" t="n">
        <v>15.48</v>
      </c>
      <c r="L19" s="20" t="n">
        <v>24.43</v>
      </c>
      <c r="M19" s="20" t="n">
        <v>5.48</v>
      </c>
      <c r="N19" s="20" t="n">
        <v>10.97</v>
      </c>
      <c r="O19" s="17" t="inlineStr">
        <is>
          <t>ผลวิเคราะห์โครงข่ายถนน</t>
        </is>
      </c>
    </row>
    <row r="20">
      <c r="A20" s="19" t="n">
        <v>19</v>
      </c>
      <c r="B20" s="21" t="inlineStr">
        <is>
          <t>1071020004</t>
        </is>
      </c>
      <c r="C20" s="17" t="inlineStr">
        <is>
          <t>วัดบ้านยาง</t>
        </is>
      </c>
      <c r="D20" s="18" t="n">
        <v>70</v>
      </c>
      <c r="E20" s="17" t="inlineStr">
        <is>
          <t>ท่ามะขาม</t>
        </is>
      </c>
      <c r="F20" s="17" t="inlineStr">
        <is>
          <t>เมืองกาญจนบุรี</t>
        </is>
      </c>
      <c r="G20" s="17" t="inlineStr">
        <is>
          <t>อยู่นอกเกณฑ์—มีผลเส้นทาง</t>
        </is>
      </c>
      <c r="H20" s="21" t="inlineStr">
        <is>
          <t>1071020019</t>
        </is>
      </c>
      <c r="I20" s="17" t="inlineStr">
        <is>
          <t>วัดทุ่งลาดหญ้าลาดหญ้าวิทยา</t>
        </is>
      </c>
      <c r="J20" s="17" t="inlineStr">
        <is>
          <t>เมืองกาญจนบุรี</t>
        </is>
      </c>
      <c r="K20" s="20" t="n">
        <v>16.53</v>
      </c>
      <c r="L20" s="20" t="n">
        <v>22.52</v>
      </c>
      <c r="M20" s="20" t="n">
        <v>6.53</v>
      </c>
      <c r="N20" s="20" t="n">
        <v>13.46</v>
      </c>
      <c r="O20" s="17" t="inlineStr">
        <is>
          <t>ผลวิเคราะห์โครงข่ายถนน</t>
        </is>
      </c>
    </row>
    <row r="21">
      <c r="A21" s="19" t="n">
        <v>20</v>
      </c>
      <c r="B21" s="21" t="inlineStr">
        <is>
          <t>1071020031</t>
        </is>
      </c>
      <c r="C21" s="17" t="inlineStr">
        <is>
          <t>บ้านท่าโป่ง</t>
        </is>
      </c>
      <c r="D21" s="18" t="n">
        <v>88</v>
      </c>
      <c r="E21" s="17" t="inlineStr">
        <is>
          <t>วังด้ง</t>
        </is>
      </c>
      <c r="F21" s="17" t="inlineStr">
        <is>
          <t>เมืองกาญจนบุรี</t>
        </is>
      </c>
      <c r="G21" s="17" t="inlineStr">
        <is>
          <t>อยู่นอกเกณฑ์—มีผลเส้นทาง</t>
        </is>
      </c>
      <c r="H21" s="21" t="inlineStr">
        <is>
          <t>1071020019</t>
        </is>
      </c>
      <c r="I21" s="17" t="inlineStr">
        <is>
          <t>วัดทุ่งลาดหญ้าลาดหญ้าวิทยา</t>
        </is>
      </c>
      <c r="J21" s="17" t="inlineStr">
        <is>
          <t>เมืองกาญจนบุรี</t>
        </is>
      </c>
      <c r="K21" s="20" t="n">
        <v>16.72</v>
      </c>
      <c r="L21" s="20" t="n">
        <v>27.95</v>
      </c>
      <c r="M21" s="20" t="n">
        <v>6.72</v>
      </c>
      <c r="N21" s="20" t="n">
        <v>14.16</v>
      </c>
      <c r="O21" s="17" t="inlineStr">
        <is>
          <t>ผลวิเคราะห์โครงข่ายถนน</t>
        </is>
      </c>
    </row>
    <row r="22">
      <c r="A22" s="19" t="n">
        <v>21</v>
      </c>
      <c r="B22" s="21" t="inlineStr">
        <is>
          <t>1071020386</t>
        </is>
      </c>
      <c r="C22" s="17" t="inlineStr">
        <is>
          <t>บ้านโป่งโก</t>
        </is>
      </c>
      <c r="D22" s="18" t="n">
        <v>101</v>
      </c>
      <c r="E22" s="17" t="inlineStr">
        <is>
          <t>จรเข้เผือก</t>
        </is>
      </c>
      <c r="F22" s="17" t="inlineStr">
        <is>
          <t>ด่านมะขามเตี้ย</t>
        </is>
      </c>
      <c r="G22" s="17" t="inlineStr">
        <is>
          <t>อยู่นอกเกณฑ์—มีผลเส้นทาง</t>
        </is>
      </c>
      <c r="H22" s="21" t="inlineStr">
        <is>
          <t>1071020372</t>
        </is>
      </c>
      <c r="I22" s="17" t="inlineStr">
        <is>
          <t>อนุบาลด่านมะขามเตี้ย</t>
        </is>
      </c>
      <c r="J22" s="17" t="inlineStr">
        <is>
          <t>ด่านมะขามเตี้ย</t>
        </is>
      </c>
      <c r="K22" s="20" t="n">
        <v>16.75</v>
      </c>
      <c r="L22" s="20" t="n">
        <v>25.61</v>
      </c>
      <c r="M22" s="20" t="n">
        <v>6.75</v>
      </c>
      <c r="N22" s="20" t="n">
        <v>15.61</v>
      </c>
      <c r="O22" s="17" t="inlineStr">
        <is>
          <t>ผลวิเคราะห์โครงข่ายถนน</t>
        </is>
      </c>
    </row>
    <row r="23">
      <c r="A23" s="19" t="n">
        <v>22</v>
      </c>
      <c r="B23" s="21" t="inlineStr">
        <is>
          <t>1071020053</t>
        </is>
      </c>
      <c r="C23" s="17" t="inlineStr">
        <is>
          <t>บ้านดงยาง</t>
        </is>
      </c>
      <c r="D23" s="18" t="n">
        <v>43</v>
      </c>
      <c r="E23" s="17" t="inlineStr">
        <is>
          <t>วังเย็น</t>
        </is>
      </c>
      <c r="F23" s="17" t="inlineStr">
        <is>
          <t>เมืองกาญจนบุรี</t>
        </is>
      </c>
      <c r="G23" s="17" t="inlineStr">
        <is>
          <t>อยู่นอกเกณฑ์—มีผลเส้นทาง</t>
        </is>
      </c>
      <c r="H23" s="21" t="inlineStr">
        <is>
          <t>1071020372</t>
        </is>
      </c>
      <c r="I23" s="17" t="inlineStr">
        <is>
          <t>อนุบาลด่านมะขามเตี้ย</t>
        </is>
      </c>
      <c r="J23" s="17" t="inlineStr">
        <is>
          <t>ด่านมะขามเตี้ย</t>
        </is>
      </c>
      <c r="K23" s="20" t="n">
        <v>17.26</v>
      </c>
      <c r="L23" s="20" t="n">
        <v>23.94</v>
      </c>
      <c r="M23" s="20" t="n">
        <v>7.26</v>
      </c>
      <c r="N23" s="20" t="n">
        <v>9.18</v>
      </c>
      <c r="O23" s="17" t="inlineStr">
        <is>
          <t>ผลวิเคราะห์โครงข่ายถนน</t>
        </is>
      </c>
    </row>
    <row r="24">
      <c r="A24" s="19" t="n">
        <v>23</v>
      </c>
      <c r="B24" s="21" t="inlineStr">
        <is>
          <t>1071020035</t>
        </is>
      </c>
      <c r="C24" s="17" t="inlineStr">
        <is>
          <t>วัดเขาน้อย</t>
        </is>
      </c>
      <c r="D24" s="18" t="n">
        <v>109</v>
      </c>
      <c r="E24" s="17" t="inlineStr">
        <is>
          <t>วังด้ง</t>
        </is>
      </c>
      <c r="F24" s="17" t="inlineStr">
        <is>
          <t>เมืองกาญจนบุรี</t>
        </is>
      </c>
      <c r="G24" s="17" t="inlineStr">
        <is>
          <t>อยู่นอกเกณฑ์—มีผลเส้นทาง</t>
        </is>
      </c>
      <c r="H24" s="21" t="inlineStr">
        <is>
          <t>1071020019</t>
        </is>
      </c>
      <c r="I24" s="17" t="inlineStr">
        <is>
          <t>วัดทุ่งลาดหญ้าลาดหญ้าวิทยา</t>
        </is>
      </c>
      <c r="J24" s="17" t="inlineStr">
        <is>
          <t>เมืองกาญจนบุรี</t>
        </is>
      </c>
      <c r="K24" s="20" t="n">
        <v>17.53</v>
      </c>
      <c r="L24" s="20" t="n">
        <v>30.53</v>
      </c>
      <c r="M24" s="20" t="n">
        <v>7.53</v>
      </c>
      <c r="N24" s="20" t="n">
        <v>15.56</v>
      </c>
      <c r="O24" s="17" t="inlineStr">
        <is>
          <t>ผลวิเคราะห์โครงข่ายถนน</t>
        </is>
      </c>
    </row>
    <row r="25">
      <c r="A25" s="19" t="n">
        <v>24</v>
      </c>
      <c r="B25" s="21" t="inlineStr">
        <is>
          <t>1071020030</t>
        </is>
      </c>
      <c r="C25" s="17" t="inlineStr">
        <is>
          <t>บ้านท่ามะนาว</t>
        </is>
      </c>
      <c r="D25" s="18" t="n">
        <v>64</v>
      </c>
      <c r="E25" s="17" t="inlineStr">
        <is>
          <t>วังด้ง</t>
        </is>
      </c>
      <c r="F25" s="17" t="inlineStr">
        <is>
          <t>เมืองกาญจนบุรี</t>
        </is>
      </c>
      <c r="G25" s="17" t="inlineStr">
        <is>
          <t>อยู่นอกเกณฑ์—มีผลเส้นทาง</t>
        </is>
      </c>
      <c r="H25" s="21" t="inlineStr">
        <is>
          <t>1071020019</t>
        </is>
      </c>
      <c r="I25" s="17" t="inlineStr">
        <is>
          <t>วัดทุ่งลาดหญ้าลาดหญ้าวิทยา</t>
        </is>
      </c>
      <c r="J25" s="17" t="inlineStr">
        <is>
          <t>เมืองกาญจนบุรี</t>
        </is>
      </c>
      <c r="K25" s="20" t="n">
        <v>17.63</v>
      </c>
      <c r="L25" s="20" t="n">
        <v>21.75</v>
      </c>
      <c r="M25" s="20" t="n">
        <v>7.63</v>
      </c>
      <c r="N25" s="20" t="n">
        <v>16.27</v>
      </c>
      <c r="O25" s="17" t="inlineStr">
        <is>
          <t>ผลวิเคราะห์โครงข่ายถนน</t>
        </is>
      </c>
    </row>
    <row r="26">
      <c r="A26" s="19" t="n">
        <v>25</v>
      </c>
      <c r="B26" s="21" t="inlineStr">
        <is>
          <t>1071020052</t>
        </is>
      </c>
      <c r="C26" s="17" t="inlineStr">
        <is>
          <t>บ้านนากาญจน์</t>
        </is>
      </c>
      <c r="D26" s="18" t="n">
        <v>70</v>
      </c>
      <c r="E26" s="17" t="inlineStr">
        <is>
          <t>วังเย็น</t>
        </is>
      </c>
      <c r="F26" s="17" t="inlineStr">
        <is>
          <t>เมืองกาญจนบุรี</t>
        </is>
      </c>
      <c r="G26" s="17" t="inlineStr">
        <is>
          <t>อยู่นอกเกณฑ์—มีผลเส้นทาง</t>
        </is>
      </c>
      <c r="H26" s="21" t="inlineStr">
        <is>
          <t>1071020372</t>
        </is>
      </c>
      <c r="I26" s="17" t="inlineStr">
        <is>
          <t>อนุบาลด่านมะขามเตี้ย</t>
        </is>
      </c>
      <c r="J26" s="17" t="inlineStr">
        <is>
          <t>ด่านมะขามเตี้ย</t>
        </is>
      </c>
      <c r="K26" s="20" t="n">
        <v>17.91</v>
      </c>
      <c r="L26" s="20" t="n">
        <v>23.03</v>
      </c>
      <c r="M26" s="20" t="n">
        <v>7.91</v>
      </c>
      <c r="N26" s="20" t="n">
        <v>10.41</v>
      </c>
      <c r="O26" s="17" t="inlineStr">
        <is>
          <t>ผลวิเคราะห์โครงข่ายถนน</t>
        </is>
      </c>
    </row>
    <row r="27">
      <c r="A27" s="19" t="n">
        <v>26</v>
      </c>
      <c r="B27" s="21" t="inlineStr">
        <is>
          <t>1071020039</t>
        </is>
      </c>
      <c r="C27" s="17" t="inlineStr">
        <is>
          <t>วัดถ้ำมังกรทอง</t>
        </is>
      </c>
      <c r="D27" s="18" t="n">
        <v>30</v>
      </c>
      <c r="E27" s="17" t="inlineStr">
        <is>
          <t>เกาะสำโรง</t>
        </is>
      </c>
      <c r="F27" s="17" t="inlineStr">
        <is>
          <t>เมืองกาญจนบุรี</t>
        </is>
      </c>
      <c r="G27" s="17" t="inlineStr">
        <is>
          <t>อยู่นอกเกณฑ์—มีผลเส้นทาง</t>
        </is>
      </c>
      <c r="H27" s="21" t="inlineStr">
        <is>
          <t>1071020099</t>
        </is>
      </c>
      <c r="I27" s="17" t="inlineStr">
        <is>
          <t>วัดศรีโลหะราษฎร์บํารุง</t>
        </is>
      </c>
      <c r="J27" s="17" t="inlineStr">
        <is>
          <t>ท่าม่วง</t>
        </is>
      </c>
      <c r="K27" s="20" t="n">
        <v>17.93</v>
      </c>
      <c r="L27" s="20" t="n">
        <v>21.41</v>
      </c>
      <c r="M27" s="20" t="n">
        <v>7.93</v>
      </c>
      <c r="N27" s="20" t="n">
        <v>13.71</v>
      </c>
      <c r="O27" s="17" t="inlineStr">
        <is>
          <t>ผลวิเคราะห์โครงข่ายถนน</t>
        </is>
      </c>
    </row>
    <row r="28">
      <c r="A28" s="19" t="n">
        <v>27</v>
      </c>
      <c r="B28" s="21" t="inlineStr">
        <is>
          <t>1071020048</t>
        </is>
      </c>
      <c r="C28" s="17" t="inlineStr">
        <is>
          <t>บ้านหนองกลางพง</t>
        </is>
      </c>
      <c r="D28" s="18" t="n">
        <v>57</v>
      </c>
      <c r="E28" s="17" t="inlineStr">
        <is>
          <t>วังเย็น</t>
        </is>
      </c>
      <c r="F28" s="17" t="inlineStr">
        <is>
          <t>เมืองกาญจนบุรี</t>
        </is>
      </c>
      <c r="G28" s="17" t="inlineStr">
        <is>
          <t>อยู่นอกเกณฑ์—มีผลเส้นทาง</t>
        </is>
      </c>
      <c r="H28" s="21" t="inlineStr">
        <is>
          <t>1071020372</t>
        </is>
      </c>
      <c r="I28" s="17" t="inlineStr">
        <is>
          <t>อนุบาลด่านมะขามเตี้ย</t>
        </is>
      </c>
      <c r="J28" s="17" t="inlineStr">
        <is>
          <t>ด่านมะขามเตี้ย</t>
        </is>
      </c>
      <c r="K28" s="20" t="n">
        <v>17.97</v>
      </c>
      <c r="L28" s="20" t="n">
        <v>30.2</v>
      </c>
      <c r="M28" s="20" t="n">
        <v>7.97</v>
      </c>
      <c r="N28" s="20" t="n">
        <v>10.79</v>
      </c>
      <c r="O28" s="17" t="inlineStr">
        <is>
          <t>ผลวิเคราะห์โครงข่ายถนน</t>
        </is>
      </c>
    </row>
    <row r="29">
      <c r="A29" s="19" t="n">
        <v>28</v>
      </c>
      <c r="B29" s="21" t="inlineStr">
        <is>
          <t>1071020133</t>
        </is>
      </c>
      <c r="C29" s="17" t="inlineStr">
        <is>
          <t>จํารูญเนติศาสตร์</t>
        </is>
      </c>
      <c r="D29" s="18" t="n">
        <v>4</v>
      </c>
      <c r="E29" s="17" t="inlineStr">
        <is>
          <t>หนองตากยา</t>
        </is>
      </c>
      <c r="F29" s="17" t="inlineStr">
        <is>
          <t>ท่าม่วง</t>
        </is>
      </c>
      <c r="G29" s="17" t="inlineStr">
        <is>
          <t>อยู่นอกเกณฑ์—มีผลเส้นทาง</t>
        </is>
      </c>
      <c r="H29" s="21" t="inlineStr">
        <is>
          <t>1071020372</t>
        </is>
      </c>
      <c r="I29" s="17" t="inlineStr">
        <is>
          <t>อนุบาลด่านมะขามเตี้ย</t>
        </is>
      </c>
      <c r="J29" s="17" t="inlineStr">
        <is>
          <t>ด่านมะขามเตี้ย</t>
        </is>
      </c>
      <c r="K29" s="20" t="n">
        <v>18.11</v>
      </c>
      <c r="L29" s="20" t="n">
        <v>23.33</v>
      </c>
      <c r="M29" s="20" t="n">
        <v>8.109999999999999</v>
      </c>
      <c r="N29" s="20" t="n">
        <v>14.81</v>
      </c>
      <c r="O29" s="17" t="inlineStr">
        <is>
          <t>ผลวิเคราะห์โครงข่ายถนน</t>
        </is>
      </c>
    </row>
    <row r="30">
      <c r="A30" s="19" t="n">
        <v>29</v>
      </c>
      <c r="B30" s="21" t="inlineStr">
        <is>
          <t>1071020047</t>
        </is>
      </c>
      <c r="C30" s="17" t="inlineStr">
        <is>
          <t>บ้านวังตะเคียน</t>
        </is>
      </c>
      <c r="D30" s="18" t="n">
        <v>79</v>
      </c>
      <c r="E30" s="17" t="inlineStr">
        <is>
          <t>วังเย็น</t>
        </is>
      </c>
      <c r="F30" s="17" t="inlineStr">
        <is>
          <t>เมืองกาญจนบุรี</t>
        </is>
      </c>
      <c r="G30" s="17" t="inlineStr">
        <is>
          <t>อยู่นอกเกณฑ์—มีผลเส้นทาง</t>
        </is>
      </c>
      <c r="H30" s="21" t="inlineStr">
        <is>
          <t>1071020372</t>
        </is>
      </c>
      <c r="I30" s="17" t="inlineStr">
        <is>
          <t>อนุบาลด่านมะขามเตี้ย</t>
        </is>
      </c>
      <c r="J30" s="17" t="inlineStr">
        <is>
          <t>ด่านมะขามเตี้ย</t>
        </is>
      </c>
      <c r="K30" s="20" t="n">
        <v>18.21</v>
      </c>
      <c r="L30" s="20" t="n">
        <v>29.64</v>
      </c>
      <c r="M30" s="20" t="n">
        <v>8.210000000000001</v>
      </c>
      <c r="N30" s="20" t="n">
        <v>12.73</v>
      </c>
      <c r="O30" s="17" t="inlineStr">
        <is>
          <t>ผลวิเคราะห์โครงข่ายถนน</t>
        </is>
      </c>
    </row>
    <row r="31">
      <c r="A31" s="19" t="n">
        <v>30</v>
      </c>
      <c r="B31" s="21" t="inlineStr">
        <is>
          <t>1071020006</t>
        </is>
      </c>
      <c r="C31" s="17" t="inlineStr">
        <is>
          <t>บ้านเขาปูน</t>
        </is>
      </c>
      <c r="D31" s="18" t="n">
        <v>34</v>
      </c>
      <c r="E31" s="17" t="inlineStr">
        <is>
          <t>หนองหญ้า</t>
        </is>
      </c>
      <c r="F31" s="17" t="inlineStr">
        <is>
          <t>เมืองกาญจนบุรี</t>
        </is>
      </c>
      <c r="G31" s="17" t="inlineStr">
        <is>
          <t>อยู่นอกเกณฑ์—มีผลเส้นทาง</t>
        </is>
      </c>
      <c r="H31" s="21" t="inlineStr">
        <is>
          <t>1071020019</t>
        </is>
      </c>
      <c r="I31" s="17" t="inlineStr">
        <is>
          <t>วัดทุ่งลาดหญ้าลาดหญ้าวิทยา</t>
        </is>
      </c>
      <c r="J31" s="17" t="inlineStr">
        <is>
          <t>เมืองกาญจนบุรี</t>
        </is>
      </c>
      <c r="K31" s="20" t="n">
        <v>19.25</v>
      </c>
      <c r="L31" s="20" t="n">
        <v>24.8</v>
      </c>
      <c r="M31" s="20" t="n">
        <v>9.25</v>
      </c>
      <c r="N31" s="20" t="n">
        <v>14.78</v>
      </c>
      <c r="O31" s="17" t="inlineStr">
        <is>
          <t>ผลวิเคราะห์โครงข่ายถนน</t>
        </is>
      </c>
    </row>
    <row r="32">
      <c r="A32" s="19" t="n">
        <v>31</v>
      </c>
      <c r="B32" s="21" t="inlineStr">
        <is>
          <t>1071020131</t>
        </is>
      </c>
      <c r="C32" s="17" t="inlineStr">
        <is>
          <t>บ้านหนองน้ำขุ่น</t>
        </is>
      </c>
      <c r="D32" s="18" t="n">
        <v>70</v>
      </c>
      <c r="E32" s="17" t="inlineStr">
        <is>
          <t>บ้านใหม่</t>
        </is>
      </c>
      <c r="F32" s="17" t="inlineStr">
        <is>
          <t>ท่าม่วง</t>
        </is>
      </c>
      <c r="G32" s="17" t="inlineStr">
        <is>
          <t>อยู่นอกเกณฑ์—มีผลเส้นทาง</t>
        </is>
      </c>
      <c r="H32" s="21" t="inlineStr">
        <is>
          <t>1071020099</t>
        </is>
      </c>
      <c r="I32" s="17" t="inlineStr">
        <is>
          <t>วัดศรีโลหะราษฎร์บํารุง</t>
        </is>
      </c>
      <c r="J32" s="17" t="inlineStr">
        <is>
          <t>ท่าม่วง</t>
        </is>
      </c>
      <c r="K32" s="20" t="n">
        <v>19.43</v>
      </c>
      <c r="L32" s="20" t="n">
        <v>24.55</v>
      </c>
      <c r="M32" s="20" t="n">
        <v>9.43</v>
      </c>
      <c r="N32" s="20" t="n">
        <v>15.39</v>
      </c>
      <c r="O32" s="17" t="inlineStr">
        <is>
          <t>ผลวิเคราะห์โครงข่ายถนน</t>
        </is>
      </c>
    </row>
    <row r="33">
      <c r="A33" s="19" t="n">
        <v>32</v>
      </c>
      <c r="B33" s="21" t="inlineStr">
        <is>
          <t>1071020399</t>
        </is>
      </c>
      <c r="C33" s="17" t="inlineStr">
        <is>
          <t>บ้านหนองกวาง</t>
        </is>
      </c>
      <c r="D33" s="18" t="n">
        <v>91</v>
      </c>
      <c r="E33" s="17" t="inlineStr">
        <is>
          <t>จรเข้เผือก</t>
        </is>
      </c>
      <c r="F33" s="17" t="inlineStr">
        <is>
          <t>ด่านมะขามเตี้ย</t>
        </is>
      </c>
      <c r="G33" s="17" t="inlineStr">
        <is>
          <t>อยู่นอกเกณฑ์—มีผลเส้นทาง</t>
        </is>
      </c>
      <c r="H33" s="21" t="inlineStr">
        <is>
          <t>1071020372</t>
        </is>
      </c>
      <c r="I33" s="17" t="inlineStr">
        <is>
          <t>อนุบาลด่านมะขามเตี้ย</t>
        </is>
      </c>
      <c r="J33" s="17" t="inlineStr">
        <is>
          <t>ด่านมะขามเตี้ย</t>
        </is>
      </c>
      <c r="K33" s="20" t="n">
        <v>19.57</v>
      </c>
      <c r="L33" s="20" t="n">
        <v>31.36</v>
      </c>
      <c r="M33" s="20" t="n">
        <v>9.57</v>
      </c>
      <c r="N33" s="20" t="n">
        <v>17.93</v>
      </c>
      <c r="O33" s="17" t="inlineStr">
        <is>
          <t>ผลวิเคราะห์โครงข่ายถนน</t>
        </is>
      </c>
    </row>
    <row r="34">
      <c r="A34" s="19" t="n">
        <v>33</v>
      </c>
      <c r="B34" s="21" t="inlineStr">
        <is>
          <t>1071020049</t>
        </is>
      </c>
      <c r="C34" s="17" t="inlineStr">
        <is>
          <t>ลุ่มโป่งเสี้ยว</t>
        </is>
      </c>
      <c r="D34" s="18" t="n">
        <v>64</v>
      </c>
      <c r="E34" s="17" t="inlineStr">
        <is>
          <t>วังเย็น</t>
        </is>
      </c>
      <c r="F34" s="17" t="inlineStr">
        <is>
          <t>เมืองกาญจนบุรี</t>
        </is>
      </c>
      <c r="G34" s="17" t="inlineStr">
        <is>
          <t>อยู่นอกเกณฑ์—มีผลเส้นทาง</t>
        </is>
      </c>
      <c r="H34" s="21" t="inlineStr">
        <is>
          <t>1071020372</t>
        </is>
      </c>
      <c r="I34" s="17" t="inlineStr">
        <is>
          <t>อนุบาลด่านมะขามเตี้ย</t>
        </is>
      </c>
      <c r="J34" s="17" t="inlineStr">
        <is>
          <t>ด่านมะขามเตี้ย</t>
        </is>
      </c>
      <c r="K34" s="20" t="n">
        <v>20.79</v>
      </c>
      <c r="L34" s="20" t="n">
        <v>32.36</v>
      </c>
      <c r="M34" s="20" t="n">
        <v>10.79</v>
      </c>
      <c r="N34" s="20" t="n">
        <v>13.53</v>
      </c>
      <c r="O34" s="17" t="inlineStr">
        <is>
          <t>ผลวิเคราะห์โครงข่ายถนน</t>
        </is>
      </c>
    </row>
    <row r="35">
      <c r="A35" s="19" t="n">
        <v>34</v>
      </c>
      <c r="B35" s="21" t="inlineStr">
        <is>
          <t>1071020045</t>
        </is>
      </c>
      <c r="C35" s="17" t="inlineStr">
        <is>
          <t>บ้านทุ่งนาคราช</t>
        </is>
      </c>
      <c r="D35" s="18" t="n">
        <v>113</v>
      </c>
      <c r="E35" s="17" t="inlineStr">
        <is>
          <t>หนองหญ้า</t>
        </is>
      </c>
      <c r="F35" s="17" t="inlineStr">
        <is>
          <t>เมืองกาญจนบุรี</t>
        </is>
      </c>
      <c r="G35" s="17" t="inlineStr">
        <is>
          <t>อยู่นอกเกณฑ์—มีผลเส้นทาง</t>
        </is>
      </c>
      <c r="H35" s="21" t="inlineStr">
        <is>
          <t>1071020372</t>
        </is>
      </c>
      <c r="I35" s="17" t="inlineStr">
        <is>
          <t>อนุบาลด่านมะขามเตี้ย</t>
        </is>
      </c>
      <c r="J35" s="17" t="inlineStr">
        <is>
          <t>ด่านมะขามเตี้ย</t>
        </is>
      </c>
      <c r="K35" s="20" t="n">
        <v>21.07</v>
      </c>
      <c r="L35" s="20" t="n">
        <v>28.06</v>
      </c>
      <c r="M35" s="20" t="n">
        <v>11.07</v>
      </c>
      <c r="N35" s="20" t="n">
        <v>12.83</v>
      </c>
      <c r="O35" s="17" t="inlineStr">
        <is>
          <t>ผลวิเคราะห์โครงข่ายถนน</t>
        </is>
      </c>
    </row>
    <row r="36">
      <c r="A36" s="19" t="n">
        <v>35</v>
      </c>
      <c r="B36" s="21" t="inlineStr">
        <is>
          <t>1071020042</t>
        </is>
      </c>
      <c r="C36" s="17" t="inlineStr">
        <is>
          <t>วัดไทยวิวัฒนาราม</t>
        </is>
      </c>
      <c r="D36" s="18" t="n">
        <v>69</v>
      </c>
      <c r="E36" s="17" t="inlineStr">
        <is>
          <t>หนองหญ้า</t>
        </is>
      </c>
      <c r="F36" s="17" t="inlineStr">
        <is>
          <t>เมืองกาญจนบุรี</t>
        </is>
      </c>
      <c r="G36" s="17" t="inlineStr">
        <is>
          <t>อยู่นอกเกณฑ์—มีผลเส้นทาง</t>
        </is>
      </c>
      <c r="H36" s="21" t="inlineStr">
        <is>
          <t>1071020099</t>
        </is>
      </c>
      <c r="I36" s="17" t="inlineStr">
        <is>
          <t>วัดศรีโลหะราษฎร์บํารุง</t>
        </is>
      </c>
      <c r="J36" s="17" t="inlineStr">
        <is>
          <t>ท่าม่วง</t>
        </is>
      </c>
      <c r="K36" s="20" t="n">
        <v>21.7</v>
      </c>
      <c r="L36" s="20" t="n">
        <v>30.22</v>
      </c>
      <c r="M36" s="20" t="n">
        <v>11.7</v>
      </c>
      <c r="N36" s="20" t="n">
        <v>16.15</v>
      </c>
      <c r="O36" s="17" t="inlineStr">
        <is>
          <t>ผลวิเคราะห์โครงข่ายถนน</t>
        </is>
      </c>
    </row>
    <row r="37">
      <c r="A37" s="19" t="n">
        <v>36</v>
      </c>
      <c r="B37" s="21" t="inlineStr">
        <is>
          <t>1071020059</t>
        </is>
      </c>
      <c r="C37" s="17" t="inlineStr">
        <is>
          <t>บ้านทุ่งศาลา</t>
        </is>
      </c>
      <c r="D37" s="18" t="n">
        <v>49</v>
      </c>
      <c r="E37" s="17" t="inlineStr">
        <is>
          <t>บ้านเก่า</t>
        </is>
      </c>
      <c r="F37" s="17" t="inlineStr">
        <is>
          <t>เมืองกาญจนบุรี</t>
        </is>
      </c>
      <c r="G37" s="17" t="inlineStr">
        <is>
          <t>อยู่นอกเกณฑ์—มีผลเส้นทาง</t>
        </is>
      </c>
      <c r="H37" s="21" t="inlineStr">
        <is>
          <t>1071020372</t>
        </is>
      </c>
      <c r="I37" s="17" t="inlineStr">
        <is>
          <t>อนุบาลด่านมะขามเตี้ย</t>
        </is>
      </c>
      <c r="J37" s="17" t="inlineStr">
        <is>
          <t>ด่านมะขามเตี้ย</t>
        </is>
      </c>
      <c r="K37" s="20" t="n">
        <v>22.95</v>
      </c>
      <c r="L37" s="20" t="n">
        <v>32.62</v>
      </c>
      <c r="M37" s="20" t="n">
        <v>12.95</v>
      </c>
      <c r="N37" s="20" t="n">
        <v>18.04</v>
      </c>
      <c r="O37" s="17" t="inlineStr">
        <is>
          <t>ผลวิเคราะห์โครงข่ายถนน</t>
        </is>
      </c>
    </row>
    <row r="38">
      <c r="A38" s="19" t="n">
        <v>37</v>
      </c>
      <c r="B38" s="21" t="inlineStr">
        <is>
          <t>1071020054</t>
        </is>
      </c>
      <c r="C38" s="17" t="inlineStr">
        <is>
          <t>พัฒน์พงศ์</t>
        </is>
      </c>
      <c r="D38" s="18" t="n">
        <v>78</v>
      </c>
      <c r="E38" s="17" t="inlineStr">
        <is>
          <t>บ้านเก่า</t>
        </is>
      </c>
      <c r="F38" s="17" t="inlineStr">
        <is>
          <t>เมืองกาญจนบุรี</t>
        </is>
      </c>
      <c r="G38" s="17" t="inlineStr">
        <is>
          <t>อยู่นอกเกณฑ์—มีผลเส้นทาง</t>
        </is>
      </c>
      <c r="H38" s="21" t="inlineStr">
        <is>
          <t>1071020372</t>
        </is>
      </c>
      <c r="I38" s="17" t="inlineStr">
        <is>
          <t>อนุบาลด่านมะขามเตี้ย</t>
        </is>
      </c>
      <c r="J38" s="17" t="inlineStr">
        <is>
          <t>ด่านมะขามเตี้ย</t>
        </is>
      </c>
      <c r="K38" s="20" t="n">
        <v>23.62</v>
      </c>
      <c r="L38" s="20" t="n">
        <v>35.82</v>
      </c>
      <c r="M38" s="20" t="n">
        <v>13.62</v>
      </c>
      <c r="N38" s="20" t="n">
        <v>19.95</v>
      </c>
      <c r="O38" s="17" t="inlineStr">
        <is>
          <t>ผลวิเคราะห์โครงข่ายถนน</t>
        </is>
      </c>
    </row>
    <row r="39">
      <c r="A39" s="19" t="n">
        <v>38</v>
      </c>
      <c r="B39" s="21" t="inlineStr">
        <is>
          <t>1071020130</t>
        </is>
      </c>
      <c r="C39" s="17" t="inlineStr">
        <is>
          <t>บ้านหนองอีเห็น</t>
        </is>
      </c>
      <c r="D39" s="18" t="n">
        <v>55</v>
      </c>
      <c r="E39" s="17" t="inlineStr">
        <is>
          <t>หนองตากยา</t>
        </is>
      </c>
      <c r="F39" s="17" t="inlineStr">
        <is>
          <t>ท่าม่วง</t>
        </is>
      </c>
      <c r="G39" s="17" t="inlineStr">
        <is>
          <t>อยู่นอกเกณฑ์—มีผลเส้นทาง</t>
        </is>
      </c>
      <c r="H39" s="21" t="inlineStr">
        <is>
          <t>1071020099</t>
        </is>
      </c>
      <c r="I39" s="17" t="inlineStr">
        <is>
          <t>วัดศรีโลหะราษฎร์บํารุง</t>
        </is>
      </c>
      <c r="J39" s="17" t="inlineStr">
        <is>
          <t>ท่าม่วง</t>
        </is>
      </c>
      <c r="K39" s="20" t="n">
        <v>24.13</v>
      </c>
      <c r="L39" s="20" t="n">
        <v>31.44</v>
      </c>
      <c r="M39" s="20" t="n">
        <v>14.13</v>
      </c>
      <c r="N39" s="20" t="n">
        <v>16.91</v>
      </c>
      <c r="O39" s="17" t="inlineStr">
        <is>
          <t>ผลวิเคราะห์โครงข่ายถนน</t>
        </is>
      </c>
    </row>
    <row r="40">
      <c r="A40" s="19" t="n">
        <v>39</v>
      </c>
      <c r="B40" s="21" t="inlineStr">
        <is>
          <t>1071020128</t>
        </is>
      </c>
      <c r="C40" s="17" t="inlineStr">
        <is>
          <t>วัดหนองตะครอง</t>
        </is>
      </c>
      <c r="D40" s="18" t="n">
        <v>51</v>
      </c>
      <c r="E40" s="17" t="inlineStr">
        <is>
          <t>หนองตากยา</t>
        </is>
      </c>
      <c r="F40" s="17" t="inlineStr">
        <is>
          <t>ท่าม่วง</t>
        </is>
      </c>
      <c r="G40" s="17" t="inlineStr">
        <is>
          <t>อยู่นอกเกณฑ์—มีผลเส้นทาง</t>
        </is>
      </c>
      <c r="H40" s="21" t="inlineStr">
        <is>
          <t>1071020372</t>
        </is>
      </c>
      <c r="I40" s="17" t="inlineStr">
        <is>
          <t>อนุบาลด่านมะขามเตี้ย</t>
        </is>
      </c>
      <c r="J40" s="17" t="inlineStr">
        <is>
          <t>ด่านมะขามเตี้ย</t>
        </is>
      </c>
      <c r="K40" s="20" t="n">
        <v>24.45</v>
      </c>
      <c r="L40" s="20" t="n">
        <v>31.95</v>
      </c>
      <c r="M40" s="20" t="n">
        <v>14.45</v>
      </c>
      <c r="N40" s="20" t="n">
        <v>19.73</v>
      </c>
      <c r="O40" s="17" t="inlineStr">
        <is>
          <t>ผลวิเคราะห์โครงข่ายถนน</t>
        </is>
      </c>
    </row>
    <row r="41">
      <c r="A41" s="19" t="n">
        <v>40</v>
      </c>
      <c r="B41" s="21" t="inlineStr">
        <is>
          <t>1071020343</t>
        </is>
      </c>
      <c r="C41" s="17" t="inlineStr">
        <is>
          <t>บ้านองสิต</t>
        </is>
      </c>
      <c r="D41" s="18" t="n">
        <v>83</v>
      </c>
      <c r="E41" s="17" t="inlineStr">
        <is>
          <t>นาสวน</t>
        </is>
      </c>
      <c r="F41" s="17" t="inlineStr">
        <is>
          <t>ศรีสวัสดิ์</t>
        </is>
      </c>
      <c r="G41" s="17" t="inlineStr">
        <is>
          <t>อยู่นอกเกณฑ์—มีผลเส้นทาง</t>
        </is>
      </c>
      <c r="H41" s="21" t="inlineStr">
        <is>
          <t>1071020350</t>
        </is>
      </c>
      <c r="I41" s="17" t="inlineStr">
        <is>
          <t>อนุบาลศรีสวัสดิ์</t>
        </is>
      </c>
      <c r="J41" s="17" t="inlineStr">
        <is>
          <t>ศรีสวัสดิ์</t>
        </is>
      </c>
      <c r="K41" s="20" t="n">
        <v>54.09</v>
      </c>
      <c r="L41" s="20" t="n">
        <v>69.23999999999999</v>
      </c>
      <c r="M41" s="20" t="n">
        <v>44.09</v>
      </c>
      <c r="N41" s="20" t="n">
        <v>27.55</v>
      </c>
      <c r="O41" s="17" t="inlineStr">
        <is>
          <t>ผลวิเคราะห์โครงข่ายถนน</t>
        </is>
      </c>
    </row>
    <row r="42">
      <c r="A42" s="19" t="n">
        <v>41</v>
      </c>
      <c r="B42" s="21" t="inlineStr">
        <is>
          <t>1071020346</t>
        </is>
      </c>
      <c r="C42" s="17" t="inlineStr">
        <is>
          <t>บ้านองหลุ</t>
        </is>
      </c>
      <c r="D42" s="18" t="n">
        <v>69</v>
      </c>
      <c r="E42" s="17" t="inlineStr">
        <is>
          <t>นาสวน</t>
        </is>
      </c>
      <c r="F42" s="17" t="inlineStr">
        <is>
          <t>ศรีสวัสดิ์</t>
        </is>
      </c>
      <c r="G42" s="17" t="inlineStr">
        <is>
          <t>อยู่นอกเกณฑ์—มีผลเส้นทาง</t>
        </is>
      </c>
      <c r="H42" s="21" t="inlineStr">
        <is>
          <t>1071020350</t>
        </is>
      </c>
      <c r="I42" s="17" t="inlineStr">
        <is>
          <t>อนุบาลศรีสวัสดิ์</t>
        </is>
      </c>
      <c r="J42" s="17" t="inlineStr">
        <is>
          <t>ศรีสวัสดิ์</t>
        </is>
      </c>
      <c r="K42" s="20" t="n">
        <v>64.28</v>
      </c>
      <c r="L42" s="20" t="n">
        <v>83.95</v>
      </c>
      <c r="M42" s="20" t="n">
        <v>54.28</v>
      </c>
      <c r="N42" s="20" t="n">
        <v>37.35</v>
      </c>
      <c r="O42" s="17" t="inlineStr">
        <is>
          <t>ผลวิเคราะห์โครงข่ายถนน</t>
        </is>
      </c>
    </row>
    <row r="43">
      <c r="A43" s="19" t="n">
        <v>42</v>
      </c>
      <c r="B43" s="21" t="inlineStr">
        <is>
          <t>1071020345</t>
        </is>
      </c>
      <c r="C43" s="17" t="inlineStr">
        <is>
          <t>วัดถ้ำองจุ</t>
        </is>
      </c>
      <c r="D43" s="18" t="n">
        <v>65</v>
      </c>
      <c r="E43" s="17" t="inlineStr">
        <is>
          <t>นาสวน</t>
        </is>
      </c>
      <c r="F43" s="17" t="inlineStr">
        <is>
          <t>ศรีสวัสดิ์</t>
        </is>
      </c>
      <c r="G43" s="17" t="inlineStr">
        <is>
          <t>อยู่นอกเกณฑ์—มีผลเส้นทาง</t>
        </is>
      </c>
      <c r="H43" s="21" t="inlineStr">
        <is>
          <t>1071020350</t>
        </is>
      </c>
      <c r="I43" s="17" t="inlineStr">
        <is>
          <t>อนุบาลศรีสวัสดิ์</t>
        </is>
      </c>
      <c r="J43" s="17" t="inlineStr">
        <is>
          <t>ศรีสวัสดิ์</t>
        </is>
      </c>
      <c r="K43" s="20" t="n">
        <v>67.23</v>
      </c>
      <c r="L43" s="20" t="n">
        <v>88.37</v>
      </c>
      <c r="M43" s="20" t="n">
        <v>57.23</v>
      </c>
      <c r="N43" s="20" t="n">
        <v>40.12</v>
      </c>
      <c r="O43" s="17" t="inlineStr">
        <is>
          <t>ผลวิเคราะห์โครงข่ายถนน</t>
        </is>
      </c>
    </row>
  </sheetData>
  <autoFilter ref="A1:O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D7D31"/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3" customWidth="1" min="4" max="4"/>
    <col width="19" customWidth="1" min="5" max="5"/>
    <col width="16" customWidth="1" min="6" max="6"/>
    <col width="21" customWidth="1" min="7" max="7"/>
    <col width="17" customWidth="1" min="8" max="8"/>
    <col width="16" customWidth="1" min="9" max="9"/>
    <col width="16" customWidth="1" min="10" max="10"/>
    <col width="16" customWidth="1" min="11" max="11"/>
    <col width="17" customWidth="1" min="12" max="12"/>
    <col width="18" customWidth="1" min="13" max="13"/>
  </cols>
  <sheetData>
    <row r="1">
      <c r="A1" s="16" t="inlineStr">
        <is>
          <t>รหัส รร.แม่เหล็ก</t>
        </is>
      </c>
      <c r="B1" s="16" t="inlineStr">
        <is>
          <t>ชื่อ รร.แม่เหล็ก</t>
        </is>
      </c>
      <c r="C1" s="16" t="inlineStr">
        <is>
          <t>อำเภอ</t>
        </is>
      </c>
      <c r="D1" s="16" t="inlineStr">
        <is>
          <t>นร.เดิม (คน)</t>
        </is>
      </c>
      <c r="E1" s="16" t="inlineStr">
        <is>
          <t>จำนวน รร.เล็กที่รับ</t>
        </is>
      </c>
      <c r="F1" s="16" t="inlineStr">
        <is>
          <t>นร.รับเพิ่ม (คน)</t>
        </is>
      </c>
      <c r="G1" s="16" t="inlineStr">
        <is>
          <t>นร.รวมเชิงสมมติ (คน)</t>
        </is>
      </c>
      <c r="H1" s="16" t="inlineStr">
        <is>
          <t>นร.เฉลี่ย/รร.เล็ก</t>
        </is>
      </c>
      <c r="I1" s="16" t="inlineStr">
        <is>
          <t>ระยะใกล้สุด (กม.)</t>
        </is>
      </c>
      <c r="J1" s="16" t="inlineStr">
        <is>
          <t>ระยะไกลสุด (กม.)</t>
        </is>
      </c>
      <c r="K1" s="16" t="inlineStr">
        <is>
          <t>ระยะเฉลี่ย (กม.)</t>
        </is>
      </c>
      <c r="L1" s="16" t="inlineStr">
        <is>
          <t>เวลาเฉลี่ย (นาที)</t>
        </is>
      </c>
      <c r="M1" s="16" t="inlineStr">
        <is>
          <t>เวลานานสุด (นาที)</t>
        </is>
      </c>
    </row>
    <row r="2">
      <c r="A2" s="21" t="inlineStr">
        <is>
          <t>1071020099</t>
        </is>
      </c>
      <c r="B2" s="17" t="inlineStr">
        <is>
          <t>วัดศรีโลหะราษฎร์บํารุง</t>
        </is>
      </c>
      <c r="C2" s="17" t="inlineStr">
        <is>
          <t>ท่าม่วง</t>
        </is>
      </c>
      <c r="D2" s="18" t="n">
        <v>509</v>
      </c>
      <c r="E2" s="18" t="n">
        <v>9</v>
      </c>
      <c r="F2" s="18" t="n">
        <v>681</v>
      </c>
      <c r="G2" s="18" t="n">
        <v>1190</v>
      </c>
      <c r="H2" s="20" t="n">
        <v>75.67</v>
      </c>
      <c r="I2" s="20" t="n">
        <v>3.38</v>
      </c>
      <c r="J2" s="20" t="n">
        <v>9.09</v>
      </c>
      <c r="K2" s="20" t="n">
        <v>6.32</v>
      </c>
      <c r="L2" s="20" t="n">
        <v>10.78</v>
      </c>
      <c r="M2" s="20" t="n">
        <v>16.05</v>
      </c>
    </row>
    <row r="3">
      <c r="A3" s="21" t="inlineStr">
        <is>
          <t>1071020019</t>
        </is>
      </c>
      <c r="B3" s="17" t="inlineStr">
        <is>
          <t>วัดทุ่งลาดหญ้าลาดหญ้าวิทยา</t>
        </is>
      </c>
      <c r="C3" s="17" t="inlineStr">
        <is>
          <t>เมืองกาญจนบุรี</t>
        </is>
      </c>
      <c r="D3" s="18" t="n">
        <v>901</v>
      </c>
      <c r="E3" s="18" t="n">
        <v>7</v>
      </c>
      <c r="F3" s="18" t="n">
        <v>564</v>
      </c>
      <c r="G3" s="18" t="n">
        <v>1465</v>
      </c>
      <c r="H3" s="20" t="n">
        <v>80.56999999999999</v>
      </c>
      <c r="I3" s="20" t="n">
        <v>1.82</v>
      </c>
      <c r="J3" s="20" t="n">
        <v>9.35</v>
      </c>
      <c r="K3" s="20" t="n">
        <v>5.74</v>
      </c>
      <c r="L3" s="20" t="n">
        <v>8.609999999999999</v>
      </c>
      <c r="M3" s="20" t="n">
        <v>13.57</v>
      </c>
    </row>
    <row r="4">
      <c r="A4" s="21" t="inlineStr">
        <is>
          <t>1071020372</t>
        </is>
      </c>
      <c r="B4" s="17" t="inlineStr">
        <is>
          <t>อนุบาลด่านมะขามเตี้ย</t>
        </is>
      </c>
      <c r="C4" s="17" t="inlineStr">
        <is>
          <t>ด่านมะขามเตี้ย</t>
        </is>
      </c>
      <c r="D4" s="18" t="n">
        <v>341</v>
      </c>
      <c r="E4" s="18" t="n">
        <v>5</v>
      </c>
      <c r="F4" s="18" t="n">
        <v>377</v>
      </c>
      <c r="G4" s="18" t="n">
        <v>718</v>
      </c>
      <c r="H4" s="20" t="n">
        <v>75.40000000000001</v>
      </c>
      <c r="I4" s="20" t="n">
        <v>3.83</v>
      </c>
      <c r="J4" s="20" t="n">
        <v>9.93</v>
      </c>
      <c r="K4" s="20" t="n">
        <v>6.67</v>
      </c>
      <c r="L4" s="20" t="n">
        <v>10.33</v>
      </c>
      <c r="M4" s="20" t="n">
        <v>15.29</v>
      </c>
    </row>
    <row r="5">
      <c r="A5" s="21" t="inlineStr">
        <is>
          <t>1071020350</t>
        </is>
      </c>
      <c r="B5" s="17" t="inlineStr">
        <is>
          <t>อนุบาลศรีสวัสดิ์</t>
        </is>
      </c>
      <c r="C5" s="17" t="inlineStr">
        <is>
          <t>ศรีสวัสดิ์</t>
        </is>
      </c>
      <c r="D5" s="18" t="n">
        <v>194</v>
      </c>
      <c r="E5" s="18" t="n">
        <v>2</v>
      </c>
      <c r="F5" s="18" t="n">
        <v>130</v>
      </c>
      <c r="G5" s="18" t="n">
        <v>324</v>
      </c>
      <c r="H5" s="20" t="n">
        <v>65</v>
      </c>
      <c r="I5" s="20" t="n">
        <v>5.9</v>
      </c>
      <c r="J5" s="20" t="n">
        <v>9.56</v>
      </c>
      <c r="K5" s="20" t="n">
        <v>7.73</v>
      </c>
      <c r="L5" s="20" t="n">
        <v>10.41</v>
      </c>
      <c r="M5" s="20" t="n">
        <v>13.25</v>
      </c>
    </row>
    <row r="6">
      <c r="A6" s="16" t="inlineStr">
        <is>
          <t>รวม</t>
        </is>
      </c>
      <c r="B6" s="16" t="n"/>
      <c r="C6" s="16" t="n"/>
      <c r="D6" s="22" t="n">
        <v>1945</v>
      </c>
      <c r="E6" s="22" t="n">
        <v>23</v>
      </c>
      <c r="F6" s="22" t="n">
        <v>1752</v>
      </c>
      <c r="G6" s="22" t="n">
        <v>3697</v>
      </c>
      <c r="H6" s="16" t="n"/>
      <c r="I6" s="16" t="n"/>
      <c r="J6" s="16" t="n"/>
      <c r="K6" s="23" t="n">
        <v>6.34</v>
      </c>
      <c r="L6" s="23" t="n">
        <v>9.99</v>
      </c>
      <c r="M6" s="16" t="n"/>
    </row>
    <row r="8">
      <c r="A8" s="24" t="inlineStr">
        <is>
          <t>หมายเหตุ: “นร.รวมเชิงสมมติ” เท่ากับนักเรียนเดิมของโรงเรียนแม่เหล็กบวกนักเรียนจากโรงเรียนต้นทางทั้งหมด ใช้แสดงภาระที่อาจเกิดขึ้นเท่านั้น มิใช่จำนวนรับจริงหรือข้อเสนอให้ย้ายนักเรียนทั้งหมด</t>
        </is>
      </c>
    </row>
    <row r="9"/>
  </sheetData>
  <autoFilter ref="A1:M5"/>
  <mergeCells count="1">
    <mergeCell ref="A8:M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7030A0"/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9" customWidth="1" min="4" max="4"/>
    <col width="16" customWidth="1" min="5" max="5"/>
    <col width="15" customWidth="1" min="6" max="6"/>
    <col width="20" customWidth="1" min="7" max="7"/>
    <col width="21" customWidth="1" min="8" max="8"/>
    <col width="19" customWidth="1" min="9" max="9"/>
    <col width="21" customWidth="1" min="10" max="10"/>
    <col width="29" customWidth="1" min="11" max="11"/>
  </cols>
  <sheetData>
    <row r="1">
      <c r="A1" s="16" t="inlineStr">
        <is>
          <t>อำเภอ (ต้นทาง)</t>
        </is>
      </c>
      <c r="B1" s="16" t="inlineStr">
        <is>
          <t>รร.เล็กตามสังกัด</t>
        </is>
      </c>
      <c r="C1" s="16" t="inlineStr">
        <is>
          <t>จับคู่ได้</t>
        </is>
      </c>
      <c r="D1" s="16" t="inlineStr">
        <is>
          <t>สัดส่วนที่จับคู่ได้ (ร้อยละ)</t>
        </is>
      </c>
      <c r="E1" s="16" t="inlineStr">
        <is>
          <t>นร.ที่จับคู่ได้</t>
        </is>
      </c>
      <c r="F1" s="16" t="inlineStr">
        <is>
          <t>นร.ทั้งหมด</t>
        </is>
      </c>
      <c r="G1" s="16" t="inlineStr">
        <is>
          <t>สัดส่วน นร.ที่จับคู่ได้ (ร้อยละ)</t>
        </is>
      </c>
      <c r="H1" s="16" t="inlineStr">
        <is>
          <t>มีผลเส้นทางเกินเกณฑ์</t>
        </is>
      </c>
      <c r="I1" s="16" t="inlineStr">
        <is>
          <t>ระยะเฉลี่ยของกลุ่มที่จับคู่ได้ (กม.)</t>
        </is>
      </c>
      <c r="J1" s="16" t="inlineStr">
        <is>
          <t>เวลาเฉลี่ยของกลุ่มที่จับคู่ได้ (นาที)</t>
        </is>
      </c>
      <c r="K1" s="16" t="inlineStr">
        <is>
          <t>จำนวน รร.แม่เหล็กปลายทางที่โรงเรียนในอำเภอเชื่อมโยง</t>
        </is>
      </c>
    </row>
    <row r="2">
      <c r="A2" s="17" t="inlineStr">
        <is>
          <t>ท่าม่วง</t>
        </is>
      </c>
      <c r="B2" s="18" t="n">
        <v>17</v>
      </c>
      <c r="C2" s="18" t="n">
        <v>9</v>
      </c>
      <c r="D2" s="20" t="n">
        <v>52.94</v>
      </c>
      <c r="E2" s="18" t="n">
        <v>681</v>
      </c>
      <c r="F2" s="18" t="n">
        <v>1085</v>
      </c>
      <c r="G2" s="20" t="n">
        <v>62.76</v>
      </c>
      <c r="H2" s="18" t="n">
        <v>8</v>
      </c>
      <c r="I2" s="20" t="n">
        <v>6.32</v>
      </c>
      <c r="J2" s="20" t="n">
        <v>10.78</v>
      </c>
      <c r="K2" s="18" t="n">
        <v>1</v>
      </c>
    </row>
    <row r="3">
      <c r="A3" s="17" t="inlineStr">
        <is>
          <t>ด่านมะขามเตี้ย</t>
        </is>
      </c>
      <c r="B3" s="18" t="n">
        <v>15</v>
      </c>
      <c r="C3" s="18" t="n">
        <v>5</v>
      </c>
      <c r="D3" s="20" t="n">
        <v>33.33</v>
      </c>
      <c r="E3" s="18" t="n">
        <v>377</v>
      </c>
      <c r="F3" s="18" t="n">
        <v>1043</v>
      </c>
      <c r="G3" s="20" t="n">
        <v>36.15</v>
      </c>
      <c r="H3" s="18" t="n">
        <v>10</v>
      </c>
      <c r="I3" s="20" t="n">
        <v>6.67</v>
      </c>
      <c r="J3" s="20" t="n">
        <v>10.33</v>
      </c>
      <c r="K3" s="18" t="n">
        <v>1</v>
      </c>
    </row>
    <row r="4">
      <c r="A4" s="17" t="inlineStr">
        <is>
          <t>ศรีสวัสดิ์</t>
        </is>
      </c>
      <c r="B4" s="18" t="n">
        <v>6</v>
      </c>
      <c r="C4" s="18" t="n">
        <v>2</v>
      </c>
      <c r="D4" s="20" t="n">
        <v>33.33</v>
      </c>
      <c r="E4" s="18" t="n">
        <v>130</v>
      </c>
      <c r="F4" s="18" t="n">
        <v>407</v>
      </c>
      <c r="G4" s="20" t="n">
        <v>31.94</v>
      </c>
      <c r="H4" s="18" t="n">
        <v>4</v>
      </c>
      <c r="I4" s="20" t="n">
        <v>7.73</v>
      </c>
      <c r="J4" s="20" t="n">
        <v>10.41</v>
      </c>
      <c r="K4" s="18" t="n">
        <v>1</v>
      </c>
    </row>
    <row r="5">
      <c r="A5" s="17" t="inlineStr">
        <is>
          <t>เมืองกาญจนบุรี</t>
        </is>
      </c>
      <c r="B5" s="18" t="n">
        <v>27</v>
      </c>
      <c r="C5" s="18" t="n">
        <v>7</v>
      </c>
      <c r="D5" s="20" t="n">
        <v>25.93</v>
      </c>
      <c r="E5" s="18" t="n">
        <v>564</v>
      </c>
      <c r="F5" s="18" t="n">
        <v>1941</v>
      </c>
      <c r="G5" s="20" t="n">
        <v>29.06</v>
      </c>
      <c r="H5" s="18" t="n">
        <v>20</v>
      </c>
      <c r="I5" s="20" t="n">
        <v>5.74</v>
      </c>
      <c r="J5" s="20" t="n">
        <v>8.609999999999999</v>
      </c>
      <c r="K5" s="18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A9D08E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5" customWidth="1" min="4" max="4"/>
    <col width="13" customWidth="1" min="5" max="5"/>
    <col width="15" customWidth="1" min="6" max="6"/>
    <col width="18" customWidth="1" min="7" max="7"/>
  </cols>
  <sheetData>
    <row r="1">
      <c r="A1" s="16" t="inlineStr">
        <is>
          <t>ช่วงระยะทาง</t>
        </is>
      </c>
      <c r="B1" s="16" t="inlineStr">
        <is>
          <t>จำนวน รร.</t>
        </is>
      </c>
      <c r="C1" s="16" t="inlineStr">
        <is>
          <t>% ของ รร.</t>
        </is>
      </c>
      <c r="D1" s="16" t="inlineStr">
        <is>
          <t>นร.รวม (คน)</t>
        </is>
      </c>
      <c r="E1" s="16" t="inlineStr">
        <is>
          <t>% ของ นร.</t>
        </is>
      </c>
      <c r="F1" s="16" t="inlineStr">
        <is>
          <t>นร.เฉลี่ย/รร.</t>
        </is>
      </c>
      <c r="G1" s="16" t="inlineStr">
        <is>
          <t>เวลาเฉลี่ย (นาที)</t>
        </is>
      </c>
    </row>
    <row r="2">
      <c r="A2" s="17" t="inlineStr">
        <is>
          <t>0–3 กม.</t>
        </is>
      </c>
      <c r="B2" s="18" t="n">
        <v>2</v>
      </c>
      <c r="C2" s="25" t="n">
        <v>8.699999999999999</v>
      </c>
      <c r="D2" s="18" t="n">
        <v>189</v>
      </c>
      <c r="E2" s="25" t="n">
        <v>10.8</v>
      </c>
      <c r="F2" s="20" t="n">
        <v>94.5</v>
      </c>
      <c r="G2" s="20" t="n">
        <v>3.83</v>
      </c>
    </row>
    <row r="3">
      <c r="A3" s="17" t="inlineStr">
        <is>
          <t>มากกว่า 3–5 กม.</t>
        </is>
      </c>
      <c r="B3" s="18" t="n">
        <v>7</v>
      </c>
      <c r="C3" s="25" t="n">
        <v>30.4</v>
      </c>
      <c r="D3" s="18" t="n">
        <v>598</v>
      </c>
      <c r="E3" s="25" t="n">
        <v>34.1</v>
      </c>
      <c r="F3" s="20" t="n">
        <v>85.43000000000001</v>
      </c>
      <c r="G3" s="20" t="n">
        <v>7.05</v>
      </c>
    </row>
    <row r="4">
      <c r="A4" s="17" t="inlineStr">
        <is>
          <t>มากกว่า 5–7 กม.</t>
        </is>
      </c>
      <c r="B4" s="18" t="n">
        <v>4</v>
      </c>
      <c r="C4" s="25" t="n">
        <v>17.4</v>
      </c>
      <c r="D4" s="18" t="n">
        <v>288</v>
      </c>
      <c r="E4" s="25" t="n">
        <v>16.4</v>
      </c>
      <c r="F4" s="20" t="n">
        <v>72</v>
      </c>
      <c r="G4" s="20" t="n">
        <v>10.16</v>
      </c>
    </row>
    <row r="5">
      <c r="A5" s="17" t="inlineStr">
        <is>
          <t>มากกว่า 7–10 กม.</t>
        </is>
      </c>
      <c r="B5" s="18" t="n">
        <v>10</v>
      </c>
      <c r="C5" s="25" t="n">
        <v>43.5</v>
      </c>
      <c r="D5" s="18" t="n">
        <v>677</v>
      </c>
      <c r="E5" s="25" t="n">
        <v>38.6</v>
      </c>
      <c r="F5" s="20" t="n">
        <v>67.7</v>
      </c>
      <c r="G5" s="20" t="n">
        <v>13.21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/>
  </sheetPr>
  <dimension ref="A1:K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1" customWidth="1" min="3" max="3"/>
    <col width="15" customWidth="1" min="4" max="4"/>
    <col width="16" customWidth="1" min="5" max="5"/>
    <col width="14" customWidth="1" min="6" max="6"/>
    <col width="27" customWidth="1" min="7" max="7"/>
    <col width="16" customWidth="1" min="8" max="8"/>
    <col width="15" customWidth="1" min="9" max="9"/>
    <col width="12" customWidth="1" min="10" max="10"/>
    <col width="34" customWidth="1" min="11" max="11"/>
  </cols>
  <sheetData>
    <row r="1">
      <c r="A1" s="26" t="inlineStr">
        <is>
          <t>โรงเรียนที่ผ่านเกณฑ์ระยะทาง แต่ควรตรวจสอบความพร้อมเพิ่มเติม 8 แห่ง</t>
        </is>
      </c>
    </row>
    <row r="2">
      <c r="A2" s="27" t="inlineStr">
        <is>
          <t>โรงเรียนทั้ง 8 แห่งผ่านเกณฑ์ระยะทางตามถนนไม่เกิน 10 กิโลเมตรแล้ว จึงไม่ใช่กลุ่มที่ไม่ผ่านเกณฑ์</t>
        </is>
      </c>
    </row>
    <row r="3">
      <c r="A3" s="27" t="inlineStr">
        <is>
          <t>เกณฑ์ผ่านของแผน 1.2 พิจารณาจากระยะทาง ไม่ได้กำหนดว่าเวลาเดินทางต้องไม่เกินกี่นาที</t>
        </is>
      </c>
    </row>
    <row r="4">
      <c r="A4" s="27" t="inlineStr">
        <is>
          <t>เหตุผลที่จัดไว้เพื่อตรวจความพร้อมเพิ่มเติม</t>
        </is>
      </c>
    </row>
    <row r="5">
      <c r="A5" s="28" t="inlineStr">
        <is>
          <t>เวลาเดินทางตั้งแต่ 12 นาที (8 แห่ง)</t>
        </is>
      </c>
      <c r="D5" s="29" t="inlineStr">
        <is>
          <t>ระยะทางผ่านเกณฑ์แล้ว แต่ภาระเดินทางอาจยังสูง จึงควรตรวจเวลาเปิด–เลิกเรียน สภาพและความปลอดภัยของถนน และรถรับส่งจริง</t>
        </is>
      </c>
    </row>
    <row r="6">
      <c r="A6" s="28" t="inlineStr">
        <is>
          <t>จับคู่ข้ามอำเภอ (0 แห่ง)</t>
        </is>
      </c>
      <c r="D6" s="29" t="inlineStr">
        <is>
          <t>ไม่ใช่ข้อห้าม แต่ควรตรวจการประสานงาน เส้นทางรับส่ง และความสัมพันธ์ของโรงเรียน ผู้ปกครอง และชุมชน พื้นที่นี้ไม่มีกรณีดังกล่าว เพราะทุกคู่ที่ผ่านเกณฑ์อยู่ในอำเภอเดียวกัน</t>
        </is>
      </c>
    </row>
    <row r="7">
      <c r="A7" s="28" t="inlineStr">
        <is>
          <t>นักเรียนไม่เกิน 20 คน (2 แห่ง)</t>
        </is>
      </c>
      <c r="D7" s="29" t="inlineStr">
        <is>
          <t>ควรดูอายุและชั้นเรียน ความจำเป็นเฉพาะ ความพร้อมของครัวเรือน และผลต่อชุมชนก่อนกำหนดรูปแบบดำเนินงาน</t>
        </is>
      </c>
    </row>
    <row r="8">
      <c r="A8" s="28" t="inlineStr">
        <is>
          <t>ระยะอยู่ในช่วงตรวจความไว 9.5–10.5 กม. (2 แห่ง)</t>
        </is>
      </c>
      <c r="D8" s="29" t="inlineStr">
        <is>
          <t>อยู่ใกล้เส้นตัด 10 กิโลเมตร ผลผ่าน/ไม่ผ่านจึงไวต่อการปรับปรุงข้อมูลถนนหรือพิกัด เป็นเงื่อนไขที่เพิ่มจากแนวทางหนองคายตามกฎ QC ของโครงการ</t>
        </is>
      </c>
    </row>
    <row r="9">
      <c r="A9" s="28" t="inlineStr">
        <is>
          <t>การนับรวม 8 แห่ง</t>
        </is>
      </c>
      <c r="D9" s="29" t="inlineStr">
        <is>
          <t>เงื่อนไขซ้อนกันได้ จึงนับแบบไม่ซ้ำ โดยหนึ่งโรงเรียนอาจเข้าเงื่อนไขมากกว่าหนึ่งข้อ</t>
        </is>
      </c>
    </row>
    <row r="10">
      <c r="A10" s="28" t="inlineStr">
        <is>
          <t>ข้อสำคัญ</t>
        </is>
      </c>
      <c r="D10" s="29" t="inlineStr">
        <is>
          <t>ค่า 12 นาทีและ 20 คนเป็นเกณฑ์จัดลำดับการตรวจของบทวิเคราะห์ ไม่ใช่เกณฑ์ผ่านหรือไม่ผ่านอย่างเป็นทางการของแผน 1.2</t>
        </is>
      </c>
    </row>
    <row r="11">
      <c r="A11" s="30" t="inlineStr">
        <is>
          <t>รหัส รร.เล็ก</t>
        </is>
      </c>
      <c r="B11" s="30" t="inlineStr">
        <is>
          <t>ชื่อ รร.เล็ก</t>
        </is>
      </c>
      <c r="C11" s="30" t="inlineStr">
        <is>
          <t>จำนวน นร.</t>
        </is>
      </c>
      <c r="D11" s="30" t="inlineStr">
        <is>
          <t>ตำบล</t>
        </is>
      </c>
      <c r="E11" s="30" t="inlineStr">
        <is>
          <t>อำเภอ (ต้นทาง)</t>
        </is>
      </c>
      <c r="F11" s="30" t="inlineStr">
        <is>
          <t>รหัส รร.แม่เหล็ก</t>
        </is>
      </c>
      <c r="G11" s="30" t="inlineStr">
        <is>
          <t>ชื่อ รร.แม่เหล็ก</t>
        </is>
      </c>
      <c r="H11" s="30" t="inlineStr">
        <is>
          <t>อำเภอ (ปลายทาง)</t>
        </is>
      </c>
      <c r="I11" s="30" t="inlineStr">
        <is>
          <t>ระยะทาง (กม.)</t>
        </is>
      </c>
      <c r="J11" s="30" t="inlineStr">
        <is>
          <t>เวลา (นาที)</t>
        </is>
      </c>
      <c r="K11" s="30" t="inlineStr">
        <is>
          <t>สาเหตุ</t>
        </is>
      </c>
    </row>
    <row r="12">
      <c r="A12" s="31" t="inlineStr">
        <is>
          <t>1071020107</t>
        </is>
      </c>
      <c r="B12" s="32" t="inlineStr">
        <is>
          <t>บ้านดอนคราม</t>
        </is>
      </c>
      <c r="C12" s="33" t="n">
        <v>8</v>
      </c>
      <c r="D12" s="32" t="inlineStr">
        <is>
          <t>เขาน้อย</t>
        </is>
      </c>
      <c r="E12" s="32" t="inlineStr">
        <is>
          <t>ท่าม่วง</t>
        </is>
      </c>
      <c r="F12" s="31" t="inlineStr">
        <is>
          <t>1071020099</t>
        </is>
      </c>
      <c r="G12" s="32" t="inlineStr">
        <is>
          <t>วัดศรีโลหะราษฎร์บํารุง</t>
        </is>
      </c>
      <c r="H12" s="32" t="inlineStr">
        <is>
          <t>ท่าม่วง</t>
        </is>
      </c>
      <c r="I12" s="34" t="n">
        <v>8.26</v>
      </c>
      <c r="J12" s="34" t="n">
        <v>16.05</v>
      </c>
      <c r="K12" s="32" t="inlineStr">
        <is>
          <t>เวลาเดินทางตั้งแต่ 12 นาที / นักเรียนไม่เกิน 20 คน</t>
        </is>
      </c>
    </row>
    <row r="13">
      <c r="A13" s="31" t="inlineStr">
        <is>
          <t>1071020375</t>
        </is>
      </c>
      <c r="B13" s="32" t="inlineStr">
        <is>
          <t>บ้านหนองหิน</t>
        </is>
      </c>
      <c r="C13" s="33" t="n">
        <v>20</v>
      </c>
      <c r="D13" s="32" t="inlineStr">
        <is>
          <t>ด่านมะขามเตี้ย</t>
        </is>
      </c>
      <c r="E13" s="32" t="inlineStr">
        <is>
          <t>ด่านมะขามเตี้ย</t>
        </is>
      </c>
      <c r="F13" s="31" t="inlineStr">
        <is>
          <t>1071020372</t>
        </is>
      </c>
      <c r="G13" s="32" t="inlineStr">
        <is>
          <t>อนุบาลด่านมะขามเตี้ย</t>
        </is>
      </c>
      <c r="H13" s="32" t="inlineStr">
        <is>
          <t>ด่านมะขามเตี้ย</t>
        </is>
      </c>
      <c r="I13" s="34" t="n">
        <v>9.93</v>
      </c>
      <c r="J13" s="34" t="n">
        <v>15.29</v>
      </c>
      <c r="K13" s="32" t="inlineStr">
        <is>
          <t>เวลาเดินทางตั้งแต่ 12 นาที / นักเรียนไม่เกิน 20 คน / ระยะอยู่ในช่วงตรวจความไว</t>
        </is>
      </c>
    </row>
    <row r="14">
      <c r="A14" s="31" t="inlineStr">
        <is>
          <t>1071020122</t>
        </is>
      </c>
      <c r="B14" s="32" t="inlineStr">
        <is>
          <t>วัดลําสำรอง</t>
        </is>
      </c>
      <c r="C14" s="33" t="n">
        <v>91</v>
      </c>
      <c r="D14" s="32" t="inlineStr">
        <is>
          <t>บ้านใหม่</t>
        </is>
      </c>
      <c r="E14" s="32" t="inlineStr">
        <is>
          <t>ท่าม่วง</t>
        </is>
      </c>
      <c r="F14" s="31" t="inlineStr">
        <is>
          <t>1071020099</t>
        </is>
      </c>
      <c r="G14" s="32" t="inlineStr">
        <is>
          <t>วัดศรีโลหะราษฎร์บํารุง</t>
        </is>
      </c>
      <c r="H14" s="32" t="inlineStr">
        <is>
          <t>ท่าม่วง</t>
        </is>
      </c>
      <c r="I14" s="34" t="n">
        <v>9.09</v>
      </c>
      <c r="J14" s="34" t="n">
        <v>14.67</v>
      </c>
      <c r="K14" s="32" t="inlineStr">
        <is>
          <t>เวลาเดินทางตั้งแต่ 12 นาที</t>
        </is>
      </c>
    </row>
    <row r="15">
      <c r="A15" s="31" t="inlineStr">
        <is>
          <t>1071020012</t>
        </is>
      </c>
      <c r="B15" s="32" t="inlineStr">
        <is>
          <t>บ้านหนองบัว</t>
        </is>
      </c>
      <c r="C15" s="33" t="n">
        <v>81</v>
      </c>
      <c r="D15" s="32" t="inlineStr">
        <is>
          <t>หนองบัว</t>
        </is>
      </c>
      <c r="E15" s="32" t="inlineStr">
        <is>
          <t>เมืองกาญจนบุรี</t>
        </is>
      </c>
      <c r="F15" s="31" t="inlineStr">
        <is>
          <t>1071020019</t>
        </is>
      </c>
      <c r="G15" s="32" t="inlineStr">
        <is>
          <t>วัดทุ่งลาดหญ้าลาดหญ้าวิทยา</t>
        </is>
      </c>
      <c r="H15" s="32" t="inlineStr">
        <is>
          <t>เมืองกาญจนบุรี</t>
        </is>
      </c>
      <c r="I15" s="34" t="n">
        <v>8.470000000000001</v>
      </c>
      <c r="J15" s="34" t="n">
        <v>13.57</v>
      </c>
      <c r="K15" s="32" t="inlineStr">
        <is>
          <t>เวลาเดินทางตั้งแต่ 12 นาที</t>
        </is>
      </c>
    </row>
    <row r="16">
      <c r="A16" s="31" t="inlineStr">
        <is>
          <t>1071020106</t>
        </is>
      </c>
      <c r="B16" s="32" t="inlineStr">
        <is>
          <t>บ้านถ้ำ</t>
        </is>
      </c>
      <c r="C16" s="33" t="n">
        <v>44</v>
      </c>
      <c r="D16" s="32" t="inlineStr">
        <is>
          <t>เขาน้อย</t>
        </is>
      </c>
      <c r="E16" s="32" t="inlineStr">
        <is>
          <t>ท่าม่วง</t>
        </is>
      </c>
      <c r="F16" s="31" t="inlineStr">
        <is>
          <t>1071020099</t>
        </is>
      </c>
      <c r="G16" s="32" t="inlineStr">
        <is>
          <t>วัดศรีโลหะราษฎร์บํารุง</t>
        </is>
      </c>
      <c r="H16" s="32" t="inlineStr">
        <is>
          <t>ท่าม่วง</t>
        </is>
      </c>
      <c r="I16" s="34" t="n">
        <v>6.93</v>
      </c>
      <c r="J16" s="34" t="n">
        <v>13.34</v>
      </c>
      <c r="K16" s="32" t="inlineStr">
        <is>
          <t>เวลาเดินทางตั้งแต่ 12 นาที</t>
        </is>
      </c>
    </row>
    <row r="17">
      <c r="A17" s="31" t="inlineStr">
        <is>
          <t>1071020352</t>
        </is>
      </c>
      <c r="B17" s="32" t="inlineStr">
        <is>
          <t>บ้านพุน้ำเปรี้ยว</t>
        </is>
      </c>
      <c r="C17" s="33" t="n">
        <v>48</v>
      </c>
      <c r="D17" s="32" t="inlineStr">
        <is>
          <t>ด่านแม่แฉลบ</t>
        </is>
      </c>
      <c r="E17" s="32" t="inlineStr">
        <is>
          <t>ศรีสวัสดิ์</t>
        </is>
      </c>
      <c r="F17" s="31" t="inlineStr">
        <is>
          <t>1071020350</t>
        </is>
      </c>
      <c r="G17" s="32" t="inlineStr">
        <is>
          <t>อนุบาลศรีสวัสดิ์</t>
        </is>
      </c>
      <c r="H17" s="32" t="inlineStr">
        <is>
          <t>ศรีสวัสดิ์</t>
        </is>
      </c>
      <c r="I17" s="34" t="n">
        <v>9.56</v>
      </c>
      <c r="J17" s="34" t="n">
        <v>13.25</v>
      </c>
      <c r="K17" s="32" t="inlineStr">
        <is>
          <t>เวลาเดินทางตั้งแต่ 12 นาที / ระยะอยู่ในช่วงตรวจความไว</t>
        </is>
      </c>
    </row>
    <row r="18">
      <c r="A18" s="31" t="inlineStr">
        <is>
          <t>1071020383</t>
        </is>
      </c>
      <c r="B18" s="32" t="inlineStr">
        <is>
          <t>บ้านหนองโสน</t>
        </is>
      </c>
      <c r="C18" s="33" t="n">
        <v>49</v>
      </c>
      <c r="D18" s="32" t="inlineStr">
        <is>
          <t>จรเข้เผือก</t>
        </is>
      </c>
      <c r="E18" s="32" t="inlineStr">
        <is>
          <t>ด่านมะขามเตี้ย</t>
        </is>
      </c>
      <c r="F18" s="31" t="inlineStr">
        <is>
          <t>1071020372</t>
        </is>
      </c>
      <c r="G18" s="32" t="inlineStr">
        <is>
          <t>อนุบาลด่านมะขามเตี้ย</t>
        </is>
      </c>
      <c r="H18" s="32" t="inlineStr">
        <is>
          <t>ด่านมะขามเตี้ย</t>
        </is>
      </c>
      <c r="I18" s="34" t="n">
        <v>8.33</v>
      </c>
      <c r="J18" s="34" t="n">
        <v>12.7</v>
      </c>
      <c r="K18" s="32" t="inlineStr">
        <is>
          <t>เวลาเดินทางตั้งแต่ 12 นาที</t>
        </is>
      </c>
    </row>
    <row r="19">
      <c r="A19" s="31" t="inlineStr">
        <is>
          <t>1071020021</t>
        </is>
      </c>
      <c r="B19" s="32" t="inlineStr">
        <is>
          <t>บ้านทุ่งนานางหรอก เพ็ญชาติอุปถัมภ์</t>
        </is>
      </c>
      <c r="C19" s="33" t="n">
        <v>89</v>
      </c>
      <c r="D19" s="32" t="inlineStr">
        <is>
          <t>ลาดหญ้า</t>
        </is>
      </c>
      <c r="E19" s="32" t="inlineStr">
        <is>
          <t>เมืองกาญจนบุรี</t>
        </is>
      </c>
      <c r="F19" s="31" t="inlineStr">
        <is>
          <t>1071020019</t>
        </is>
      </c>
      <c r="G19" s="32" t="inlineStr">
        <is>
          <t>วัดทุ่งลาดหญ้าลาดหญ้าวิทยา</t>
        </is>
      </c>
      <c r="H19" s="32" t="inlineStr">
        <is>
          <t>เมืองกาญจนบุรี</t>
        </is>
      </c>
      <c r="I19" s="34" t="n">
        <v>9.35</v>
      </c>
      <c r="J19" s="34" t="n">
        <v>12.48</v>
      </c>
      <c r="K19" s="32" t="inlineStr">
        <is>
          <t>เวลาเดินทางตั้งแต่ 12 นาที</t>
        </is>
      </c>
    </row>
  </sheetData>
  <autoFilter ref="A11:K19"/>
  <mergeCells count="16">
    <mergeCell ref="A10:C10"/>
    <mergeCell ref="D9:K9"/>
    <mergeCell ref="A4:K4"/>
    <mergeCell ref="A3:K3"/>
    <mergeCell ref="A5:C5"/>
    <mergeCell ref="D6:K6"/>
    <mergeCell ref="D7:K7"/>
    <mergeCell ref="D8:K8"/>
    <mergeCell ref="A8:C8"/>
    <mergeCell ref="A6:C6"/>
    <mergeCell ref="D10:K10"/>
    <mergeCell ref="A2:K2"/>
    <mergeCell ref="A9:C9"/>
    <mergeCell ref="D5:K5"/>
    <mergeCell ref="A7:C7"/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รร.แม่เหล็ก</t>
        </is>
      </c>
      <c r="B1" t="inlineStr">
        <is>
          <t>นร.เดิม</t>
        </is>
      </c>
      <c r="C1" t="inlineStr">
        <is>
          <t>นร.รับเพิ่ม</t>
        </is>
      </c>
      <c r="E1" t="inlineStr">
        <is>
          <t>สถานะ</t>
        </is>
      </c>
      <c r="F1" t="inlineStr">
        <is>
          <t>จำนวน รร.</t>
        </is>
      </c>
      <c r="H1" t="inlineStr">
        <is>
          <t>รร.แม่เหล็ก</t>
        </is>
      </c>
      <c r="I1" t="inlineStr">
        <is>
          <t>ระยะเฉลี่ย (กม.)</t>
        </is>
      </c>
      <c r="J1" t="inlineStr">
        <is>
          <t>เวลาเฉลี่ย (นาที)</t>
        </is>
      </c>
      <c r="L1" t="inlineStr">
        <is>
          <t>อำเภอ</t>
        </is>
      </c>
      <c r="M1" t="inlineStr">
        <is>
          <t>รร.ตามสังกัด</t>
        </is>
      </c>
      <c r="N1" t="inlineStr">
        <is>
          <t>จับคู่ได้</t>
        </is>
      </c>
    </row>
    <row r="2">
      <c r="A2" t="inlineStr">
        <is>
          <t>วัดศรีโลหะราษฎร์บํารุง (1071020099)</t>
        </is>
      </c>
      <c r="B2" t="n">
        <v>509</v>
      </c>
      <c r="C2" t="n">
        <v>681</v>
      </c>
      <c r="E2" t="inlineStr">
        <is>
          <t>จับคู่ได้ภายใน 10 กม.</t>
        </is>
      </c>
      <c r="F2" t="n">
        <v>23</v>
      </c>
      <c r="H2" t="inlineStr">
        <is>
          <t>วัดศรีโลหะราษฎร์บํารุง (1071020099)</t>
        </is>
      </c>
      <c r="I2" t="n">
        <v>6.32</v>
      </c>
      <c r="J2" t="n">
        <v>10.78</v>
      </c>
      <c r="L2" t="inlineStr">
        <is>
          <t>ท่าม่วง</t>
        </is>
      </c>
      <c r="M2" t="n">
        <v>17</v>
      </c>
      <c r="N2" t="n">
        <v>9</v>
      </c>
    </row>
    <row r="3">
      <c r="A3" t="inlineStr">
        <is>
          <t>วัดทุ่งลาดหญ้าลาดหญ้าวิทยา (1071020019)</t>
        </is>
      </c>
      <c r="B3" t="n">
        <v>901</v>
      </c>
      <c r="C3" t="n">
        <v>564</v>
      </c>
      <c r="E3" t="inlineStr">
        <is>
          <t>มีผลเส้นทางเกิน 10 กม.</t>
        </is>
      </c>
      <c r="F3" t="n">
        <v>42</v>
      </c>
      <c r="H3" t="inlineStr">
        <is>
          <t>วัดทุ่งลาดหญ้าลาดหญ้าวิทยา (1071020019)</t>
        </is>
      </c>
      <c r="I3" t="n">
        <v>5.74</v>
      </c>
      <c r="J3" t="n">
        <v>8.609999999999999</v>
      </c>
      <c r="L3" t="inlineStr">
        <is>
          <t>ด่านมะขามเตี้ย</t>
        </is>
      </c>
      <c r="M3" t="n">
        <v>15</v>
      </c>
      <c r="N3" t="n">
        <v>5</v>
      </c>
    </row>
    <row r="4">
      <c r="A4" t="inlineStr">
        <is>
          <t>อนุบาลด่านมะขามเตี้ย (1071020372)</t>
        </is>
      </c>
      <c r="B4" t="n">
        <v>341</v>
      </c>
      <c r="C4" t="n">
        <v>377</v>
      </c>
      <c r="H4" t="inlineStr">
        <is>
          <t>อนุบาลด่านมะขามเตี้ย (1071020372)</t>
        </is>
      </c>
      <c r="I4" t="n">
        <v>6.67</v>
      </c>
      <c r="J4" t="n">
        <v>10.33</v>
      </c>
      <c r="L4" t="inlineStr">
        <is>
          <t>ศรีสวัสดิ์</t>
        </is>
      </c>
      <c r="M4" t="n">
        <v>6</v>
      </c>
      <c r="N4" t="n">
        <v>2</v>
      </c>
    </row>
    <row r="5">
      <c r="A5" t="inlineStr">
        <is>
          <t>อนุบาลศรีสวัสดิ์ (1071020350)</t>
        </is>
      </c>
      <c r="B5" t="n">
        <v>194</v>
      </c>
      <c r="C5" t="n">
        <v>130</v>
      </c>
      <c r="H5" t="inlineStr">
        <is>
          <t>อนุบาลศรีสวัสดิ์ (1071020350)</t>
        </is>
      </c>
      <c r="I5" t="n">
        <v>7.73</v>
      </c>
      <c r="J5" t="n">
        <v>10.41</v>
      </c>
      <c r="L5" t="inlineStr">
        <is>
          <t>เมืองกาญจนบุรี</t>
        </is>
      </c>
      <c r="M5" t="n">
        <v>27</v>
      </c>
      <c r="N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2026-09-03T04:31:57Z</dcterms:created>
  <dcterms:modified xsi:type="dcterms:W3CDTF">2026-09-03T04:31:57Z</dcterms:modified>
</cp:coreProperties>
</file>